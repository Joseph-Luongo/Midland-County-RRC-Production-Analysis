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48b3bbd7b48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3aecc21e98f47b9"/>
    <x:sheet xmlns:r="http://schemas.openxmlformats.org/officeDocument/2006/relationships" name="County Metrics" sheetId="2" r:id="Rd6dd22f478b040d4"/>
    <x:sheet xmlns:r="http://schemas.openxmlformats.org/officeDocument/2006/relationships" name="Annual Data" sheetId="3" r:id="R5af3b0403237497c"/>
    <x:sheet xmlns:r="http://schemas.openxmlformats.org/officeDocument/2006/relationships" name="Monthly Data" sheetId="4" r:id="R1150e104e56f4a0d"/>
    <x:sheet xmlns:r="http://schemas.openxmlformats.org/officeDocument/2006/relationships" name="Operator Summary" sheetId="5" r:id="R04de467c4b1240d6"/>
    <x:sheet xmlns:r="http://schemas.openxmlformats.org/officeDocument/2006/relationships" name="Field Summary" sheetId="6" r:id="Re7d1f3077e694af3"/>
    <x:sheet xmlns:r="http://schemas.openxmlformats.org/officeDocument/2006/relationships" name="Methodology" sheetId="7" r:id="R1435057f5ec141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"/>
    <x:numFmt numFmtId="202" formatCode="mmm yyyy"/>
    <x:numFmt numFmtId="203" formatCode="0.0%"/>
    <x:numFmt numFmtId="204" formatCode="0.0"/>
    <x:numFmt numFmtId="205" formatCode="0.0 &quot;MMbbl&quot;"/>
    <x:numFmt numFmtId="206" formatCode="0.0 &quot;Bcf&quot;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b5b2e72bf46df" /><Relationship Type="http://schemas.openxmlformats.org/officeDocument/2006/relationships/theme" Target="/xl/theme/theme1.xml" Id="Rd124070fda6d4ec5" /><Relationship Type="http://schemas.openxmlformats.org/officeDocument/2006/relationships/sharedStrings" Target="/xl/sharedStrings.xml" Id="Re88ef7c41b78404d" /><Relationship Type="http://schemas.openxmlformats.org/officeDocument/2006/relationships/worksheet" Target="/xl/worksheets/sheet1.xml" Id="R53aecc21e98f47b9" /><Relationship Type="http://schemas.openxmlformats.org/officeDocument/2006/relationships/worksheet" Target="/xl/worksheets/sheet2.xml" Id="Rd6dd22f478b040d4" /><Relationship Type="http://schemas.openxmlformats.org/officeDocument/2006/relationships/worksheet" Target="/xl/worksheets/sheet3.xml" Id="R5af3b0403237497c" /><Relationship Type="http://schemas.openxmlformats.org/officeDocument/2006/relationships/worksheet" Target="/xl/worksheets/sheet4.xml" Id="R1150e104e56f4a0d" /><Relationship Type="http://schemas.openxmlformats.org/officeDocument/2006/relationships/worksheet" Target="/xl/worksheets/sheet5.xml" Id="R04de467c4b1240d6" /><Relationship Type="http://schemas.openxmlformats.org/officeDocument/2006/relationships/worksheet" Target="/xl/worksheets/sheet6.xml" Id="Re7d1f3077e694af3" /><Relationship Type="http://schemas.openxmlformats.org/officeDocument/2006/relationships/worksheet" Target="/xl/worksheets/sheet7.xml" Id="R1435057f5ec141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3650c077944f77" /><Relationship Type="http://schemas.openxmlformats.org/officeDocument/2006/relationships/chart" Target="/xl/drawings/charts/chart2.xml" Id="R44513badcb4f49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Oil Production (MMbbl)</a:t>
            </a:r>
          </a:p>
        </c:rich>
      </c:tx>
    </c:title>
    <c:plotArea>
      <c:lineChart>
        <c:grouping val="standard"/>
        <c:ser>
          <c:idx val="0"/>
          <c:order val="0"/>
          <c:tx>
            <c:v>Midland</c:v>
          </c:tx>
          <c:marker>
            <c:symbol val="none"/>
          </c:marker>
          <c:cat>
            <c:strRef>
              <c:f>'Dashboard'!$L$3:$L$8</c:f>
              <c:strCache>
                <c:ptCount val="0"/>
              </c:strCache>
            </c:strRef>
          </c:cat>
          <c:val>
            <c:numRef>
              <c:f>'Dashboard'!$M$3:$M$8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Martin</c:v>
          </c:tx>
          <c:marker>
            <c:symbol val="none"/>
          </c:marker>
          <c:cat>
            <c:strRef>
              <c:f>'Dashboard'!$L$3:$L$8</c:f>
              <c:strCache>
                <c:ptCount val="0"/>
              </c:strCache>
            </c:strRef>
          </c:cat>
          <c:val>
            <c:numRef>
              <c:f>'Dashboard'!$N$3:$N$8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Howard</c:v>
          </c:tx>
          <c:marker>
            <c:symbol val="none"/>
          </c:marker>
          <c:cat>
            <c:strRef>
              <c:f>'Dashboard'!$L$3:$L$8</c:f>
              <c:strCache>
                <c:ptCount val="0"/>
              </c:strCache>
            </c:strRef>
          </c:cat>
          <c:val>
            <c:numRef>
              <c:f>'Dashboard'!$O$3:$O$8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Reeves</c:v>
          </c:tx>
          <c:marker>
            <c:symbol val="none"/>
          </c:marker>
          <c:cat>
            <c:strRef>
              <c:f>'Dashboard'!$L$3:$L$8</c:f>
              <c:strCache>
                <c:ptCount val="0"/>
              </c:strCache>
            </c:strRef>
          </c:cat>
          <c:val>
            <c:numRef>
              <c:f>'Dashboard'!$P$3:$P$8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Loving</c:v>
          </c:tx>
          <c:marker>
            <c:symbol val="none"/>
          </c:marker>
          <c:cat>
            <c:strRef>
              <c:f>'Dashboard'!$L$3:$L$8</c:f>
              <c:strCache>
                <c:ptCount val="0"/>
              </c:strCache>
            </c:strRef>
          </c:cat>
          <c:val>
            <c:numRef>
              <c:f>'Dashboard'!$Q$3:$Q$8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2020-2025 Oil and Gas Growth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Oil Growth</c:v>
          </c:tx>
          <c:cat>
            <c:strRef>
              <c:f>'Dashboard'!$L$12:$L$16</c:f>
              <c:strCache>
                <c:ptCount val="0"/>
              </c:strCache>
            </c:strRef>
          </c:cat>
          <c:val>
            <c:numRef>
              <c:f>'Dashboard'!$M$12:$M$16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Gas Growth</c:v>
          </c:tx>
          <c:cat>
            <c:strRef>
              <c:f>'Dashboard'!$L$12:$L$16</c:f>
              <c:strCache>
                <c:ptCount val="0"/>
              </c:strCache>
            </c:strRef>
          </c:cat>
          <c:val>
            <c:numRef>
              <c:f>'Dashboard'!$N$12:$N$16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10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3650c077944f77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10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513badcb4f493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CountyMetrics" displayName="CountyMetrics" ref="A1:T6" headerRowCount="1" totalsRowCount="0" totalsRowShown="0">
  <x:tableColumns count="20">
    <x:tableColumn id="1" name="County"/>
    <x:tableColumn id="2" name="2020 Oil (MMbbl)"/>
    <x:tableColumn id="3" name="2025 Oil (MMbbl)"/>
    <x:tableColumn id="4" name="Oil Growth"/>
    <x:tableColumn id="5" name="2020 Gas (Bcf)"/>
    <x:tableColumn id="6" name="2025 Gas (Bcf)"/>
    <x:tableColumn id="7" name="Gas Growth"/>
    <x:tableColumn id="8" name="2025 Condensate (MMbbl)"/>
    <x:tableColumn id="9" name="2025 Total Liquids (MMbbl)"/>
    <x:tableColumn id="10" name="Condensate Share"/>
    <x:tableColumn id="11" name="2020 GLR"/>
    <x:tableColumn id="12" name="2025 GLR"/>
    <x:tableColumn id="13" name="GLR Change"/>
    <x:tableColumn id="14" name="2026 Q1 Oil Momentum"/>
    <x:tableColumn id="15" name="2026 Q1 Gas Momentum"/>
    <x:tableColumn id="16" name="Top Operator"/>
    <x:tableColumn id="17" name="Top Operator Share"/>
    <x:tableColumn id="18" name="Top 5 Operator Share"/>
    <x:tableColumn id="19" name="Top Field"/>
    <x:tableColumn id="20" name="Top Field Sha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nnualProduction" displayName="AnnualProduction" ref="A1:J36" headerRowCount="1" totalsRowCount="0" totalsRowShown="0">
  <x:tableColumns count="10">
    <x:tableColumn id="1" name="County"/>
    <x:tableColumn id="2" name="Year"/>
    <x:tableColumn id="3" name="Oil (BBL)"/>
    <x:tableColumn id="4" name="Casinghead (MCF)"/>
    <x:tableColumn id="5" name="GW Gas (MCF)"/>
    <x:tableColumn id="6" name="Gas (MCF)"/>
    <x:tableColumn id="7" name="Condensate (BBL)"/>
    <x:tableColumn id="8" name="Liquids (BBL)"/>
    <x:tableColumn id="9" name="GOR (MCF/BBL Oil)"/>
    <x:tableColumn id="10" name="GLR (MCF/BBL Liquids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MonthlyProduction" displayName="MonthlyProduction" ref="A1:K376" headerRowCount="1" totalsRowCount="0" totalsRowShown="0">
  <x:tableColumns count="11">
    <x:tableColumn id="1" name="Date"/>
    <x:tableColumn id="2" name="Oil (BBL)"/>
    <x:tableColumn id="3" name="Casinghead (MCF)"/>
    <x:tableColumn id="4" name="GW Gas (MCF)"/>
    <x:tableColumn id="5" name="Condensate (BBL)"/>
    <x:tableColumn id="6" name="Gas (MCF)"/>
    <x:tableColumn id="7" name="County"/>
    <x:tableColumn id="8" name="Year"/>
    <x:tableColumn id="9" name="Liquids (BBL)"/>
    <x:tableColumn id="10" name="GOR (MCF/BBL Oil)"/>
    <x:tableColumn id="11" name="GLR (MCF/BBL Liquids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OperatorSummary" displayName="OperatorSummary" ref="A1:G51" headerRowCount="1" totalsRowCount="0" totalsRowShown="0">
  <x:tableColumns count="7">
    <x:tableColumn id="1" name="County"/>
    <x:tableColumn id="2" name="Rank"/>
    <x:tableColumn id="3" name="Operator Name"/>
    <x:tableColumn id="4" name="Oil (BBL)"/>
    <x:tableColumn id="5" name="Gas (MCF)"/>
    <x:tableColumn id="6" name="Condensate (BBL)"/>
    <x:tableColumn id="7" name="Oil Share (%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FieldSummary" displayName="FieldSummary" ref="A1:G26" headerRowCount="1" totalsRowCount="0" totalsRowShown="0">
  <x:tableColumns count="7">
    <x:tableColumn id="1" name="County"/>
    <x:tableColumn id="2" name="Rank"/>
    <x:tableColumn id="3" name="Field Name"/>
    <x:tableColumn id="4" name="Oil (BBL)"/>
    <x:tableColumn id="5" name="Gas (MCF)"/>
    <x:tableColumn id="6" name="Condensate (BBL)"/>
    <x:tableColumn id="7" name="Oil Share (%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fb04bb46264e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008a867eab4d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0f0f7a08174f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c156eae4244d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f86e68e96343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df7113af9c48f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33" t="str">
        <x:v>Permian Basin RRC Production Comparison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L2" s="6" t="str">
        <x:v>Year</x:v>
      </x:c>
      <x:c r="M2" s="6" t="str">
        <x:v>Midland</x:v>
      </x:c>
      <x:c r="N2" s="6" t="str">
        <x:v>Martin</x:v>
      </x:c>
      <x:c r="O2" s="6" t="str">
        <x:v>Howard</x:v>
      </x:c>
      <x:c r="P2" s="6" t="str">
        <x:v>Reeves</x:v>
      </x:c>
      <x:c r="Q2" s="6" t="str">
        <x:v>Loving</x:v>
      </x:c>
    </x:row>
    <x:row r="3">
      <x:c r="L3" t="n">
        <x:v>2020</x:v>
      </x:c>
      <x:c r="M3" t="n">
        <x:f>SUMIFS('Annual Data'!$C:$C,'Annual Data'!$A:$A,M$2,'Annual Data'!$B:$B,$L3)/1000000</x:f>
        <x:v>191.675933</x:v>
      </x:c>
      <x:c r="N3" t="n">
        <x:f>SUMIFS('Annual Data'!$C:$C,'Annual Data'!$A:$A,N$2,'Annual Data'!$B:$B,$L3)/1000000</x:f>
        <x:v>146.125413</x:v>
      </x:c>
      <x:c r="O3" t="n">
        <x:f>SUMIFS('Annual Data'!$C:$C,'Annual Data'!$A:$A,O$2,'Annual Data'!$B:$B,$L3)/1000000</x:f>
        <x:v>96.917331</x:v>
      </x:c>
      <x:c r="P3" t="n">
        <x:f>SUMIFS('Annual Data'!$C:$C,'Annual Data'!$A:$A,P$2,'Annual Data'!$B:$B,$L3)/1000000</x:f>
        <x:v>91.717953</x:v>
      </x:c>
      <x:c r="Q3" t="n">
        <x:f>SUMIFS('Annual Data'!$C:$C,'Annual Data'!$A:$A,Q$2,'Annual Data'!$B:$B,$L3)/1000000</x:f>
        <x:v>83.090941</x:v>
      </x:c>
    </x:row>
    <x:row r="4">
      <x:c r="A4" s="40" t="str">
        <x:v>Executive Snapshot | Jan 2020 - Mar 2026 | Five-County Comparison</x:v>
      </x:c>
      <x:c r="B4" s="40"/>
      <x:c r="C4" s="40"/>
      <x:c r="D4" s="40"/>
      <x:c r="E4" s="40"/>
      <x:c r="F4" s="40"/>
      <x:c r="G4" s="40"/>
      <x:c r="H4" s="40"/>
      <x:c r="I4" s="40"/>
      <x:c r="J4" s="40"/>
      <x:c r="L4" t="n">
        <x:v>2021</x:v>
      </x:c>
      <x:c r="M4" t="n">
        <x:f>SUMIFS('Annual Data'!$C:$C,'Annual Data'!$A:$A,M$2,'Annual Data'!$B:$B,$L4)/1000000</x:f>
        <x:v>199.143122</x:v>
      </x:c>
      <x:c r="N4" t="n">
        <x:f>SUMIFS('Annual Data'!$C:$C,'Annual Data'!$A:$A,N$2,'Annual Data'!$B:$B,$L4)/1000000</x:f>
        <x:v>166.478333</x:v>
      </x:c>
      <x:c r="O4" t="n">
        <x:f>SUMIFS('Annual Data'!$C:$C,'Annual Data'!$A:$A,O$2,'Annual Data'!$B:$B,$L4)/1000000</x:f>
        <x:v>111.563435</x:v>
      </x:c>
      <x:c r="P4" t="n">
        <x:f>SUMIFS('Annual Data'!$C:$C,'Annual Data'!$A:$A,P$2,'Annual Data'!$B:$B,$L4)/1000000</x:f>
        <x:v>76.82485</x:v>
      </x:c>
      <x:c r="Q4" t="n">
        <x:f>SUMIFS('Annual Data'!$C:$C,'Annual Data'!$A:$A,Q$2,'Annual Data'!$B:$B,$L4)/1000000</x:f>
        <x:v>80.397811</x:v>
      </x:c>
    </x:row>
    <x:row r="5">
      <x:c r="L5" t="n">
        <x:v>2022</x:v>
      </x:c>
      <x:c r="M5" t="n">
        <x:f>SUMIFS('Annual Data'!$C:$C,'Annual Data'!$A:$A,M$2,'Annual Data'!$B:$B,$L5)/1000000</x:f>
        <x:v>221.678081</x:v>
      </x:c>
      <x:c r="N5" t="n">
        <x:f>SUMIFS('Annual Data'!$C:$C,'Annual Data'!$A:$A,N$2,'Annual Data'!$B:$B,$L5)/1000000</x:f>
        <x:v>189.378813</x:v>
      </x:c>
      <x:c r="O5" t="n">
        <x:f>SUMIFS('Annual Data'!$C:$C,'Annual Data'!$A:$A,O$2,'Annual Data'!$B:$B,$L5)/1000000</x:f>
        <x:v>129.435224</x:v>
      </x:c>
      <x:c r="P5" t="n">
        <x:f>SUMIFS('Annual Data'!$C:$C,'Annual Data'!$A:$A,P$2,'Annual Data'!$B:$B,$L5)/1000000</x:f>
        <x:v>75.065576</x:v>
      </x:c>
      <x:c r="Q5" t="n">
        <x:f>SUMIFS('Annual Data'!$C:$C,'Annual Data'!$A:$A,Q$2,'Annual Data'!$B:$B,$L5)/1000000</x:f>
        <x:v>88.026773</x:v>
      </x:c>
    </x:row>
    <x:row r="6">
      <x:c r="A6" s="6" t="str">
        <x:v>County</x:v>
      </x:c>
      <x:c r="B6" s="6" t="str">
        <x:v>2025 Oil</x:v>
      </x:c>
      <x:c r="C6" s="6" t="str">
        <x:v>Oil Growth</x:v>
      </x:c>
      <x:c r="D6" s="6" t="str">
        <x:v>2025 Gas</x:v>
      </x:c>
      <x:c r="E6" s="6" t="str">
        <x:v>2025 Liquids</x:v>
      </x:c>
      <x:c r="F6" s="6" t="str">
        <x:v>2025 GLR</x:v>
      </x:c>
      <x:c r="L6" t="n">
        <x:v>2023</x:v>
      </x:c>
      <x:c r="M6" t="n">
        <x:f>SUMIFS('Annual Data'!$C:$C,'Annual Data'!$A:$A,M$2,'Annual Data'!$B:$B,$L6)/1000000</x:f>
        <x:v>234.518111</x:v>
      </x:c>
      <x:c r="N6" t="n">
        <x:f>SUMIFS('Annual Data'!$C:$C,'Annual Data'!$A:$A,N$2,'Annual Data'!$B:$B,$L6)/1000000</x:f>
        <x:v>222.100313</x:v>
      </x:c>
      <x:c r="O6" t="n">
        <x:f>SUMIFS('Annual Data'!$C:$C,'Annual Data'!$A:$A,O$2,'Annual Data'!$B:$B,$L6)/1000000</x:f>
        <x:v>141.311535</x:v>
      </x:c>
      <x:c r="P6" t="n">
        <x:f>SUMIFS('Annual Data'!$C:$C,'Annual Data'!$A:$A,P$2,'Annual Data'!$B:$B,$L6)/1000000</x:f>
        <x:v>80.971027</x:v>
      </x:c>
      <x:c r="Q6" t="n">
        <x:f>SUMIFS('Annual Data'!$C:$C,'Annual Data'!$A:$A,Q$2,'Annual Data'!$B:$B,$L6)/1000000</x:f>
        <x:v>98.259575</x:v>
      </x:c>
    </x:row>
    <x:row r="7">
      <x:c r="A7" t="str">
        <x:f>'County Metrics'!A2</x:f>
        <x:v>Midland</x:v>
      </x:c>
      <x:c r="B7" s="44" t="n">
        <x:f>'County Metrics'!C2</x:f>
        <x:v>241.692085</x:v>
      </x:c>
      <x:c r="C7" s="18" t="n">
        <x:f>'County Metrics'!D2</x:f>
        <x:v>0.26094122103477657</x:v>
      </x:c>
      <x:c r="D7" s="46" t="n">
        <x:f>'County Metrics'!F2</x:f>
        <x:v>982.604254</x:v>
      </x:c>
      <x:c r="E7" s="44" t="n">
        <x:f>'County Metrics'!I2</x:f>
        <x:v>242.456965</x:v>
      </x:c>
      <x:c r="F7" s="14" t="n">
        <x:f>'County Metrics'!L2</x:f>
        <x:v>4.052695512376805</x:v>
      </x:c>
      <x:c r="L7" t="n">
        <x:v>2024</x:v>
      </x:c>
      <x:c r="M7" t="n">
        <x:f>SUMIFS('Annual Data'!$C:$C,'Annual Data'!$A:$A,M$2,'Annual Data'!$B:$B,$L7)/1000000</x:f>
        <x:v>234.762267</x:v>
      </x:c>
      <x:c r="N7" t="n">
        <x:f>SUMIFS('Annual Data'!$C:$C,'Annual Data'!$A:$A,N$2,'Annual Data'!$B:$B,$L7)/1000000</x:f>
        <x:v>250.902498</x:v>
      </x:c>
      <x:c r="O7" t="n">
        <x:f>SUMIFS('Annual Data'!$C:$C,'Annual Data'!$A:$A,O$2,'Annual Data'!$B:$B,$L7)/1000000</x:f>
        <x:v>114.580489</x:v>
      </x:c>
      <x:c r="P7" t="n">
        <x:f>SUMIFS('Annual Data'!$C:$C,'Annual Data'!$A:$A,P$2,'Annual Data'!$B:$B,$L7)/1000000</x:f>
        <x:v>83.690822</x:v>
      </x:c>
      <x:c r="Q7" t="n">
        <x:f>SUMIFS('Annual Data'!$C:$C,'Annual Data'!$A:$A,Q$2,'Annual Data'!$B:$B,$L7)/1000000</x:f>
        <x:v>109.956652</x:v>
      </x:c>
    </x:row>
    <x:row r="8">
      <x:c r="A8" t="str">
        <x:f>'County Metrics'!A3</x:f>
        <x:v>Martin</x:v>
      </x:c>
      <x:c r="B8" s="44" t="n">
        <x:f>'County Metrics'!C3</x:f>
        <x:v>258.327294</x:v>
      </x:c>
      <x:c r="C8" s="18" t="n">
        <x:f>'County Metrics'!D3</x:f>
        <x:v>0.7678464593971754</x:v>
      </x:c>
      <x:c r="D8" s="46" t="n">
        <x:f>'County Metrics'!F3</x:f>
        <x:v>749.729446</x:v>
      </x:c>
      <x:c r="E8" s="44" t="n">
        <x:f>'County Metrics'!I3</x:f>
        <x:v>258.743308</x:v>
      </x:c>
      <x:c r="F8" s="14" t="n">
        <x:f>'County Metrics'!L3</x:f>
        <x:v>2.897580044852793</x:v>
      </x:c>
      <x:c r="L8" t="n">
        <x:v>2025</x:v>
      </x:c>
      <x:c r="M8" t="n">
        <x:f>SUMIFS('Annual Data'!$C:$C,'Annual Data'!$A:$A,M$2,'Annual Data'!$B:$B,$L8)/1000000</x:f>
        <x:v>241.692085</x:v>
      </x:c>
      <x:c r="N8" t="n">
        <x:f>SUMIFS('Annual Data'!$C:$C,'Annual Data'!$A:$A,N$2,'Annual Data'!$B:$B,$L8)/1000000</x:f>
        <x:v>258.327294</x:v>
      </x:c>
      <x:c r="O8" t="n">
        <x:f>SUMIFS('Annual Data'!$C:$C,'Annual Data'!$A:$A,O$2,'Annual Data'!$B:$B,$L8)/1000000</x:f>
        <x:v>98.593299</x:v>
      </x:c>
      <x:c r="P8" t="n">
        <x:f>SUMIFS('Annual Data'!$C:$C,'Annual Data'!$A:$A,P$2,'Annual Data'!$B:$B,$L8)/1000000</x:f>
        <x:v>81.982383</x:v>
      </x:c>
      <x:c r="Q8" t="n">
        <x:f>SUMIFS('Annual Data'!$C:$C,'Annual Data'!$A:$A,Q$2,'Annual Data'!$B:$B,$L8)/1000000</x:f>
        <x:v>113.754349</x:v>
      </x:c>
    </x:row>
    <x:row r="9">
      <x:c r="A9" t="str">
        <x:f>'County Metrics'!A4</x:f>
        <x:v>Howard</x:v>
      </x:c>
      <x:c r="B9" s="44" t="n">
        <x:f>'County Metrics'!C4</x:f>
        <x:v>98.593299</x:v>
      </x:c>
      <x:c r="C9" s="18" t="n">
        <x:f>'County Metrics'!D4</x:f>
        <x:v>0.017292758505700112</x:v>
      </x:c>
      <x:c r="D9" s="46" t="n">
        <x:f>'County Metrics'!F4</x:f>
        <x:v>426.002623</x:v>
      </x:c>
      <x:c r="E9" s="44" t="n">
        <x:f>'County Metrics'!I4</x:f>
        <x:v>98.595474</x:v>
      </x:c>
      <x:c r="F9" s="14" t="n">
        <x:f>'County Metrics'!L4</x:f>
        <x:v>4.320711749912578</x:v>
      </x:c>
    </x:row>
    <x:row r="10">
      <x:c r="A10" t="str">
        <x:f>'County Metrics'!A5</x:f>
        <x:v>Reeves</x:v>
      </x:c>
      <x:c r="B10" s="44" t="n">
        <x:f>'County Metrics'!C5</x:f>
        <x:v>81.982383</x:v>
      </x:c>
      <x:c r="C10" s="18" t="n">
        <x:f>'County Metrics'!D5</x:f>
        <x:v>-0.10614683038117956</x:v>
      </x:c>
      <x:c r="D10" s="46" t="n">
        <x:f>'County Metrics'!F5</x:f>
        <x:v>1218.870495</x:v>
      </x:c>
      <x:c r="E10" s="44" t="n">
        <x:f>'County Metrics'!I5</x:f>
        <x:v>179.854476</x:v>
      </x:c>
      <x:c r="F10" s="14" t="n">
        <x:f>'County Metrics'!L5</x:f>
        <x:v>6.77698171381623</x:v>
      </x:c>
    </x:row>
    <x:row r="11">
      <x:c r="A11" t="str">
        <x:f>'County Metrics'!A6</x:f>
        <x:v>Loving</x:v>
      </x:c>
      <x:c r="B11" s="44" t="n">
        <x:f>'County Metrics'!C6</x:f>
        <x:v>113.754349</x:v>
      </x:c>
      <x:c r="C11" s="18" t="n">
        <x:f>'County Metrics'!D6</x:f>
        <x:v>0.36903430904699963</x:v>
      </x:c>
      <x:c r="D11" s="46" t="n">
        <x:f>'County Metrics'!F6</x:f>
        <x:v>702.044089</x:v>
      </x:c>
      <x:c r="E11" s="44" t="n">
        <x:f>'County Metrics'!I6</x:f>
        <x:v>177.519576</x:v>
      </x:c>
      <x:c r="F11" s="14" t="n">
        <x:f>'County Metrics'!L6</x:f>
        <x:v>3.954741808306257</x:v>
      </x:c>
      <x:c r="L11" s="6" t="str">
        <x:v>County</x:v>
      </x:c>
      <x:c r="M11" s="6" t="str">
        <x:v>Oil Growth</x:v>
      </x:c>
      <x:c r="N11" s="6" t="str">
        <x:v>Gas Growth</x:v>
      </x:c>
    </x:row>
    <x:row r="12">
      <x:c r="L12" t="str">
        <x:f>'County Metrics'!A2</x:f>
        <x:v>Midland</x:v>
      </x:c>
      <x:c r="M12" s="18" t="n">
        <x:f>'County Metrics'!D2</x:f>
        <x:v>0.26094122103477657</x:v>
      </x:c>
      <x:c r="N12" s="18" t="n">
        <x:f>'County Metrics'!G2</x:f>
        <x:v>0.7871946197388229</x:v>
      </x:c>
    </x:row>
    <x:row r="13">
      <x:c r="A13" s="40" t="str">
        <x:v>Key Business-Relevant Findings</x:v>
      </x:c>
      <x:c r="B13" s="40"/>
      <x:c r="C13" s="40"/>
      <x:c r="D13" s="40"/>
      <x:c r="E13" s="40"/>
      <x:c r="F13" s="40"/>
      <x:c r="G13" s="40"/>
      <x:c r="H13" s="40"/>
      <x:c r="I13" s="40"/>
      <x:c r="J13" s="40"/>
      <x:c r="L13" t="str">
        <x:f>'County Metrics'!A3</x:f>
        <x:v>Martin</x:v>
      </x:c>
      <x:c r="M13" s="18" t="n">
        <x:f>'County Metrics'!D3</x:f>
        <x:v>0.7678464593971754</x:v>
      </x:c>
      <x:c r="N13" s="18" t="n">
        <x:f>'County Metrics'!G3</x:f>
        <x:v>1.5514593900428144</x:v>
      </x:c>
    </x:row>
    <x:row r="14" ht="31" customHeight="1">
      <x:c r="A14" s="22" t="str">
        <x:v>Martin is the strongest growth county: 2020-2025 oil +76.8% and gas +155.1%, with negligible condensate in its liquids stream.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L14" t="str">
        <x:f>'County Metrics'!A4</x:f>
        <x:v>Howard</x:v>
      </x:c>
      <x:c r="M14" s="18" t="n">
        <x:f>'County Metrics'!D4</x:f>
        <x:v>0.017292758505700112</x:v>
      </x:c>
      <x:c r="N14" s="18" t="n">
        <x:f>'County Metrics'!G4</x:f>
        <x:v>1.2730542359353447</x:v>
      </x:c>
    </x:row>
    <x:row r="15" ht="31" customHeight="1">
      <x:c r="A15" s="22" t="str">
        <x:v>Reeves produced the most gas in 2025, but condensate represented 54% of liquids; oil-only comparisons materially understate its liquids scale.</x:v>
      </x:c>
      <x:c r="B15" s="22"/>
      <x:c r="C15" s="22"/>
      <x:c r="D15" s="22"/>
      <x:c r="E15" s="22"/>
      <x:c r="F15" s="22"/>
      <x:c r="G15" s="22"/>
      <x:c r="H15" s="22"/>
      <x:c r="I15" s="22"/>
      <x:c r="J15" s="22"/>
      <x:c r="L15" t="str">
        <x:f>'County Metrics'!A5</x:f>
        <x:v>Reeves</x:v>
      </x:c>
      <x:c r="M15" s="18" t="n">
        <x:f>'County Metrics'!D5</x:f>
        <x:v>-0.10614683038117956</x:v>
      </x:c>
      <x:c r="N15" s="18" t="n">
        <x:f>'County Metrics'!G5</x:f>
        <x:v>0.1437502031803326</x:v>
      </x:c>
    </x:row>
    <x:row r="16" ht="31" customHeight="1">
      <x:c r="A16" s="22" t="str">
        <x:v>Howard's oil was nearly flat from 2020 to 2025 while gas more than doubled; GLR rose from 1.93 to 4.32 MCF/BBL.</x:v>
      </x:c>
      <x:c r="B16" s="22"/>
      <x:c r="C16" s="22"/>
      <x:c r="D16" s="22"/>
      <x:c r="E16" s="22"/>
      <x:c r="F16" s="22"/>
      <x:c r="G16" s="22"/>
      <x:c r="H16" s="22"/>
      <x:c r="I16" s="22"/>
      <x:c r="J16" s="22"/>
      <x:c r="L16" t="str">
        <x:f>'County Metrics'!A6</x:f>
        <x:v>Loving</x:v>
      </x:c>
      <x:c r="M16" s="18" t="n">
        <x:f>'County Metrics'!D6</x:f>
        <x:v>0.36903430904699963</x:v>
      </x:c>
      <x:c r="N16" s="18" t="n">
        <x:f>'County Metrics'!G6</x:f>
        <x:v>0.6721343988654207</x:v>
      </x:c>
    </x:row>
    <x:row r="17" ht="31" customHeight="1">
      <x:c r="A17" s="22" t="str">
        <x:v>Reported operator concentration is highest in Loving and lowest in Reeves/Howard, indicating materially different competitive structures.</x:v>
      </x:c>
      <x:c r="B17" s="22"/>
      <x:c r="C17" s="22"/>
      <x:c r="D17" s="22"/>
      <x:c r="E17" s="22"/>
      <x:c r="F17" s="22"/>
      <x:c r="G17" s="22"/>
      <x:c r="H17" s="22"/>
      <x:c r="I17" s="22"/>
      <x:c r="J17" s="22"/>
    </x:row>
    <x:row r="18" ht="31" customHeight="1">
      <x:c r="A18" s="22" t="str">
        <x:v>Q1 2026 average oil is below the 2025 monthly average in every county; Martin and Loving are the most resilient, while Howard slows the most.</x:v>
      </x:c>
      <x:c r="B18" s="22"/>
      <x:c r="C18" s="22"/>
      <x:c r="D18" s="22"/>
      <x:c r="E18" s="22"/>
      <x:c r="F18" s="22"/>
      <x:c r="G18" s="22"/>
      <x:c r="H18" s="22"/>
      <x:c r="I18" s="22"/>
      <x:c r="J18" s="22"/>
    </x:row>
  </x:sheetData>
  <x:mergeCells>
    <x:mergeCell ref="A1:J2"/>
    <x:mergeCell ref="A4:J4"/>
    <x:mergeCell ref="A13:J13"/>
    <x:mergeCell ref="A14:J14"/>
    <x:mergeCell ref="A15:J15"/>
    <x:mergeCell ref="A16:J16"/>
    <x:mergeCell ref="A17:J17"/>
    <x:mergeCell ref="A18:J18"/>
  </x:mergeCells>
  <x:pageMargins left="0.7" right="0.7" top="0.75" bottom="0.75" header="0.3" footer="0.3"/>
  <x:drawing xmlns:r="http://schemas.openxmlformats.org/officeDocument/2006/relationships" r:id="R14fb04bb46264e95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34" hidden="0" customWidth="1"/>
    <x:col min="17" max="17" width="16" hidden="0" customWidth="1"/>
    <x:col min="18" max="18" width="16" hidden="0" customWidth="1"/>
    <x:col min="19" max="19" width="30" hidden="0" customWidth="1"/>
    <x:col min="20" max="20" width="15" hidden="0" customWidth="1"/>
  </x:cols>
  <x:sheetData>
    <x:row r="1">
      <x:c r="A1" s="6" t="str">
        <x:v>County</x:v>
      </x:c>
      <x:c r="B1" s="6" t="str">
        <x:v>2020 Oil (MMbbl)</x:v>
      </x:c>
      <x:c r="C1" s="6" t="str">
        <x:v>2025 Oil (MMbbl)</x:v>
      </x:c>
      <x:c r="D1" s="6" t="str">
        <x:v>Oil Growth</x:v>
      </x:c>
      <x:c r="E1" s="6" t="str">
        <x:v>2020 Gas (Bcf)</x:v>
      </x:c>
      <x:c r="F1" s="6" t="str">
        <x:v>2025 Gas (Bcf)</x:v>
      </x:c>
      <x:c r="G1" s="6" t="str">
        <x:v>Gas Growth</x:v>
      </x:c>
      <x:c r="H1" s="6" t="str">
        <x:v>2025 Condensate (MMbbl)</x:v>
      </x:c>
      <x:c r="I1" s="6" t="str">
        <x:v>2025 Total Liquids (MMbbl)</x:v>
      </x:c>
      <x:c r="J1" s="6" t="str">
        <x:v>Condensate Share</x:v>
      </x:c>
      <x:c r="K1" s="6" t="str">
        <x:v>2020 GLR</x:v>
      </x:c>
      <x:c r="L1" s="6" t="str">
        <x:v>2025 GLR</x:v>
      </x:c>
      <x:c r="M1" s="6" t="str">
        <x:v>GLR Change</x:v>
      </x:c>
      <x:c r="N1" s="6" t="str">
        <x:v>2026 Q1 Oil Momentum</x:v>
      </x:c>
      <x:c r="O1" s="6" t="str">
        <x:v>2026 Q1 Gas Momentum</x:v>
      </x:c>
      <x:c r="P1" s="6" t="str">
        <x:v>Top Operator</x:v>
      </x:c>
      <x:c r="Q1" s="6" t="str">
        <x:v>Top Operator Share</x:v>
      </x:c>
      <x:c r="R1" s="6" t="str">
        <x:v>Top 5 Operator Share</x:v>
      </x:c>
      <x:c r="S1" s="6" t="str">
        <x:v>Top Field</x:v>
      </x:c>
      <x:c r="T1" s="6" t="str">
        <x:v>Top Field Share</x:v>
      </x:c>
    </x:row>
    <x:row r="2">
      <x:c r="A2" s="22" t="str">
        <x:v>Midland</x:v>
      </x:c>
      <x:c r="B2" s="23" t="n">
        <x:f>SUMIFS('Annual Data'!$C:$C,'Annual Data'!$A:$A,$A2,'Annual Data'!$B:$B,2020)/1000000</x:f>
        <x:v>191.675933</x:v>
      </x:c>
      <x:c r="C2" s="23" t="n">
        <x:f>SUMIFS('Annual Data'!$C:$C,'Annual Data'!$A:$A,$A2,'Annual Data'!$B:$B,2025)/1000000</x:f>
        <x:v>241.692085</x:v>
      </x:c>
      <x:c r="D2" s="24" t="n">
        <x:f>C2/B2-1</x:f>
        <x:v>0.26094122103477657</x:v>
      </x:c>
      <x:c r="E2" s="23" t="n">
        <x:f>SUMIFS('Annual Data'!$F:$F,'Annual Data'!$A:$A,$A2,'Annual Data'!$B:$B,2020)/1000000</x:f>
        <x:v>549.802603</x:v>
      </x:c>
      <x:c r="F2" s="23" t="n">
        <x:f>SUMIFS('Annual Data'!$F:$F,'Annual Data'!$A:$A,$A2,'Annual Data'!$B:$B,2025)/1000000</x:f>
        <x:v>982.604254</x:v>
      </x:c>
      <x:c r="G2" s="24" t="n">
        <x:f>F2/E2-1</x:f>
        <x:v>0.7871946197388229</x:v>
      </x:c>
      <x:c r="H2" s="23" t="n">
        <x:f>SUMIFS('Annual Data'!$G:$G,'Annual Data'!$A:$A,$A2,'Annual Data'!$B:$B,2025)/1000000</x:f>
        <x:v>0.76488</x:v>
      </x:c>
      <x:c r="I2" s="23" t="n">
        <x:f>SUMIFS('Annual Data'!$H:$H,'Annual Data'!$A:$A,$A2,'Annual Data'!$B:$B,2025)/1000000</x:f>
        <x:v>242.456965</x:v>
      </x:c>
      <x:c r="J2" s="24" t="n">
        <x:f>H2/I2</x:f>
        <x:v>0.0031547041760586255</x:v>
      </x:c>
      <x:c r="K2" s="25" t="n">
        <x:f>SUMIFS('Annual Data'!$F:$F,'Annual Data'!$A:$A,$A2,'Annual Data'!$B:$B,2020)/SUMIFS('Annual Data'!$H:$H,'Annual Data'!$A:$A,$A2,'Annual Data'!$B:$B,2020)</x:f>
        <x:v>2.867371815318348</x:v>
      </x:c>
      <x:c r="L2" s="25" t="n">
        <x:f>SUMIFS('Annual Data'!$F:$F,'Annual Data'!$A:$A,$A2,'Annual Data'!$B:$B,2025)/SUMIFS('Annual Data'!$H:$H,'Annual Data'!$A:$A,$A2,'Annual Data'!$B:$B,2025)</x:f>
        <x:v>4.052695512376805</x:v>
      </x:c>
      <x:c r="M2" s="24" t="n">
        <x:f>L2/K2-1</x:f>
        <x:v>0.41338332570826974</x:v>
      </x:c>
      <x:c r="N2" s="24" t="n">
        <x:f>(SUMIFS('Monthly Data'!$B:$B,'Monthly Data'!$G:$G,$A2,'Monthly Data'!$H:$H,2026)/COUNTIFS('Monthly Data'!$G:$G,$A2,'Monthly Data'!$H:$H,2026))/(SUMIFS('Monthly Data'!$B:$B,'Monthly Data'!$G:$G,$A2,'Monthly Data'!$H:$H,2025)/COUNTIFS('Monthly Data'!$G:$G,$A2,'Monthly Data'!$H:$H,2025))-1</x:f>
        <x:v>-0.07317357124044821</x:v>
      </x:c>
      <x:c r="O2" s="24" t="n">
        <x:f>(SUMIFS('Monthly Data'!$F:$F,'Monthly Data'!$G:$G,$A2,'Monthly Data'!$H:$H,2026)/COUNTIFS('Monthly Data'!$G:$G,$A2,'Monthly Data'!$H:$H,2026))/(SUMIFS('Monthly Data'!$F:$F,'Monthly Data'!$G:$G,$A2,'Monthly Data'!$H:$H,2025)/COUNTIFS('Monthly Data'!$G:$G,$A2,'Monthly Data'!$H:$H,2025))-1</x:f>
        <x:v>-0.053043761807283984</x:v>
      </x:c>
      <x:c r="P2" s="22" t="str">
        <x:v>PIONEER NATURAL RES. USA, INC.</x:v>
      </x:c>
      <x:c r="Q2" s="24" t="n">
        <x:f>SUMIFS('Operator Summary'!$G:$G,'Operator Summary'!$A:$A,$A2,'Operator Summary'!$B:$B,1)</x:f>
        <x:v>0.3347341717564115</x:v>
      </x:c>
      <x:c r="R2" s="24" t="n">
        <x:f>SUMIFS('Operator Summary'!$G:$G,'Operator Summary'!$A:$A,$A2,'Operator Summary'!$B:$B,"&lt;=5")</x:f>
        <x:v>0.7133738376738568</x:v>
      </x:c>
      <x:c r="S2" s="22" t="str">
        <x:v>SPRABERRY (TREND AREA)</x:v>
      </x:c>
      <x:c r="T2" s="24" t="n">
        <x:f>SUMIFS('Field Summary'!$G:$G,'Field Summary'!$A:$A,$A2,'Field Summary'!$B:$B,1)</x:f>
        <x:v>0.8113551800208156</x:v>
      </x:c>
    </x:row>
    <x:row r="3">
      <x:c r="A3" s="22" t="str">
        <x:v>Martin</x:v>
      </x:c>
      <x:c r="B3" s="23" t="n">
        <x:f>SUMIFS('Annual Data'!$C:$C,'Annual Data'!$A:$A,$A3,'Annual Data'!$B:$B,2020)/1000000</x:f>
        <x:v>146.125413</x:v>
      </x:c>
      <x:c r="C3" s="23" t="n">
        <x:f>SUMIFS('Annual Data'!$C:$C,'Annual Data'!$A:$A,$A3,'Annual Data'!$B:$B,2025)/1000000</x:f>
        <x:v>258.327294</x:v>
      </x:c>
      <x:c r="D3" s="24" t="n">
        <x:f>C3/B3-1</x:f>
        <x:v>0.7678464593971754</x:v>
      </x:c>
      <x:c r="E3" s="23" t="n">
        <x:f>SUMIFS('Annual Data'!$F:$F,'Annual Data'!$A:$A,$A3,'Annual Data'!$B:$B,2020)/1000000</x:f>
        <x:v>293.843378</x:v>
      </x:c>
      <x:c r="F3" s="23" t="n">
        <x:f>SUMIFS('Annual Data'!$F:$F,'Annual Data'!$A:$A,$A3,'Annual Data'!$B:$B,2025)/1000000</x:f>
        <x:v>749.729446</x:v>
      </x:c>
      <x:c r="G3" s="24" t="n">
        <x:f>F3/E3-1</x:f>
        <x:v>1.5514593900428144</x:v>
      </x:c>
      <x:c r="H3" s="23" t="n">
        <x:f>SUMIFS('Annual Data'!$G:$G,'Annual Data'!$A:$A,$A3,'Annual Data'!$B:$B,2025)/1000000</x:f>
        <x:v>0.416014</x:v>
      </x:c>
      <x:c r="I3" s="23" t="n">
        <x:f>SUMIFS('Annual Data'!$H:$H,'Annual Data'!$A:$A,$A3,'Annual Data'!$B:$B,2025)/1000000</x:f>
        <x:v>258.743308</x:v>
      </x:c>
      <x:c r="J3" s="24" t="n">
        <x:f>H3/I3</x:f>
        <x:v>0.0016078251577428236</x:v>
      </x:c>
      <x:c r="K3" s="25" t="n">
        <x:f>SUMIFS('Annual Data'!$F:$F,'Annual Data'!$A:$A,$A3,'Annual Data'!$B:$B,2020)/SUMIFS('Annual Data'!$H:$H,'Annual Data'!$A:$A,$A3,'Annual Data'!$B:$B,2020)</x:f>
        <x:v>2.010898046998631</x:v>
      </x:c>
      <x:c r="L3" s="25" t="n">
        <x:f>SUMIFS('Annual Data'!$F:$F,'Annual Data'!$A:$A,$A3,'Annual Data'!$B:$B,2025)/SUMIFS('Annual Data'!$H:$H,'Annual Data'!$A:$A,$A3,'Annual Data'!$B:$B,2025)</x:f>
        <x:v>2.897580044852793</x:v>
      </x:c>
      <x:c r="M3" s="24" t="n">
        <x:f>L3/K3-1</x:f>
        <x:v>0.440938315683175</x:v>
      </x:c>
      <x:c r="N3" s="24" t="n">
        <x:f>(SUMIFS('Monthly Data'!$B:$B,'Monthly Data'!$G:$G,$A3,'Monthly Data'!$H:$H,2026)/COUNTIFS('Monthly Data'!$G:$G,$A3,'Monthly Data'!$H:$H,2026))/(SUMIFS('Monthly Data'!$B:$B,'Monthly Data'!$G:$G,$A3,'Monthly Data'!$H:$H,2025)/COUNTIFS('Monthly Data'!$G:$G,$A3,'Monthly Data'!$H:$H,2025))-1</x:f>
        <x:v>-0.009207567513171866</x:v>
      </x:c>
      <x:c r="O3" s="24" t="n">
        <x:f>(SUMIFS('Monthly Data'!$F:$F,'Monthly Data'!$G:$G,$A3,'Monthly Data'!$H:$H,2026)/COUNTIFS('Monthly Data'!$G:$G,$A3,'Monthly Data'!$H:$H,2026))/(SUMIFS('Monthly Data'!$F:$F,'Monthly Data'!$G:$G,$A3,'Monthly Data'!$H:$H,2025)/COUNTIFS('Monthly Data'!$G:$G,$A3,'Monthly Data'!$H:$H,2025))-1</x:f>
        <x:v>0.03238678983404908</x:v>
      </x:c>
      <x:c r="P3" s="22" t="str">
        <x:v>DIAMONDBACK E&amp;P LLC</x:v>
      </x:c>
      <x:c r="Q3" s="24" t="n">
        <x:f>SUMIFS('Operator Summary'!$G:$G,'Operator Summary'!$A:$A,$A3,'Operator Summary'!$B:$B,1)</x:f>
        <x:v>0.2859483527603841</x:v>
      </x:c>
      <x:c r="R3" s="24" t="n">
        <x:f>SUMIFS('Operator Summary'!$G:$G,'Operator Summary'!$A:$A,$A3,'Operator Summary'!$B:$B,"&lt;=5")</x:f>
        <x:v>0.7165085657460256</x:v>
      </x:c>
      <x:c r="S3" s="22" t="str">
        <x:v>SPRABERRY (TREND AREA)</x:v>
      </x:c>
      <x:c r="T3" s="24" t="n">
        <x:f>SUMIFS('Field Summary'!$G:$G,'Field Summary'!$A:$A,$A3,'Field Summary'!$B:$B,1)</x:f>
        <x:v>0.9672336352069527</x:v>
      </x:c>
    </x:row>
    <x:row r="4">
      <x:c r="A4" s="22" t="str">
        <x:v>Howard</x:v>
      </x:c>
      <x:c r="B4" s="23" t="n">
        <x:f>SUMIFS('Annual Data'!$C:$C,'Annual Data'!$A:$A,$A4,'Annual Data'!$B:$B,2020)/1000000</x:f>
        <x:v>96.917331</x:v>
      </x:c>
      <x:c r="C4" s="23" t="n">
        <x:f>SUMIFS('Annual Data'!$C:$C,'Annual Data'!$A:$A,$A4,'Annual Data'!$B:$B,2025)/1000000</x:f>
        <x:v>98.593299</x:v>
      </x:c>
      <x:c r="D4" s="24" t="n">
        <x:f>C4/B4-1</x:f>
        <x:v>0.017292758505700112</x:v>
      </x:c>
      <x:c r="E4" s="23" t="n">
        <x:f>SUMIFS('Annual Data'!$F:$F,'Annual Data'!$A:$A,$A4,'Annual Data'!$B:$B,2020)/1000000</x:f>
        <x:v>187.414192</x:v>
      </x:c>
      <x:c r="F4" s="23" t="n">
        <x:f>SUMIFS('Annual Data'!$F:$F,'Annual Data'!$A:$A,$A4,'Annual Data'!$B:$B,2025)/1000000</x:f>
        <x:v>426.002623</x:v>
      </x:c>
      <x:c r="G4" s="24" t="n">
        <x:f>F4/E4-1</x:f>
        <x:v>1.2730542359353447</x:v>
      </x:c>
      <x:c r="H4" s="23" t="n">
        <x:f>SUMIFS('Annual Data'!$G:$G,'Annual Data'!$A:$A,$A4,'Annual Data'!$B:$B,2025)/1000000</x:f>
        <x:v>0.002175</x:v>
      </x:c>
      <x:c r="I4" s="23" t="n">
        <x:f>SUMIFS('Annual Data'!$H:$H,'Annual Data'!$A:$A,$A4,'Annual Data'!$B:$B,2025)/1000000</x:f>
        <x:v>98.595474</x:v>
      </x:c>
      <x:c r="J4" s="24" t="n">
        <x:f>H4/I4</x:f>
        <x:v>0.00002205983613406027</x:v>
      </x:c>
      <x:c r="K4" s="25" t="n">
        <x:f>SUMIFS('Annual Data'!$F:$F,'Annual Data'!$A:$A,$A4,'Annual Data'!$B:$B,2020)/SUMIFS('Annual Data'!$H:$H,'Annual Data'!$A:$A,$A4,'Annual Data'!$B:$B,2020)</x:f>
        <x:v>1.9337056222370945</x:v>
      </x:c>
      <x:c r="L4" s="25" t="n">
        <x:f>SUMIFS('Annual Data'!$F:$F,'Annual Data'!$A:$A,$A4,'Annual Data'!$B:$B,2025)/SUMIFS('Annual Data'!$H:$H,'Annual Data'!$A:$A,$A4,'Annual Data'!$B:$B,2025)</x:f>
        <x:v>4.320711749912578</x:v>
      </x:c>
      <x:c r="M4" s="24" t="n">
        <x:f>L4/K4-1</x:f>
        <x:v>1.2344206378807376</x:v>
      </x:c>
      <x:c r="N4" s="24" t="n">
        <x:f>(SUMIFS('Monthly Data'!$B:$B,'Monthly Data'!$G:$G,$A4,'Monthly Data'!$H:$H,2026)/COUNTIFS('Monthly Data'!$G:$G,$A4,'Monthly Data'!$H:$H,2026))/(SUMIFS('Monthly Data'!$B:$B,'Monthly Data'!$G:$G,$A4,'Monthly Data'!$H:$H,2025)/COUNTIFS('Monthly Data'!$G:$G,$A4,'Monthly Data'!$H:$H,2025))-1</x:f>
        <x:v>-0.21013167436460356</x:v>
      </x:c>
      <x:c r="O4" s="24" t="n">
        <x:f>(SUMIFS('Monthly Data'!$F:$F,'Monthly Data'!$G:$G,$A4,'Monthly Data'!$H:$H,2026)/COUNTIFS('Monthly Data'!$G:$G,$A4,'Monthly Data'!$H:$H,2026))/(SUMIFS('Monthly Data'!$F:$F,'Monthly Data'!$G:$G,$A4,'Monthly Data'!$H:$H,2025)/COUNTIFS('Monthly Data'!$G:$G,$A4,'Monthly Data'!$H:$H,2025))-1</x:f>
        <x:v>-0.03528498227110688</x:v>
      </x:c>
      <x:c r="P4" s="22" t="str">
        <x:v>SM ENERGY COMPANY</x:v>
      </x:c>
      <x:c r="Q4" s="24" t="n">
        <x:f>SUMIFS('Operator Summary'!$G:$G,'Operator Summary'!$A:$A,$A4,'Operator Summary'!$B:$B,1)</x:f>
        <x:v>0.14149843717867214</x:v>
      </x:c>
      <x:c r="R4" s="24" t="n">
        <x:f>SUMIFS('Operator Summary'!$G:$G,'Operator Summary'!$A:$A,$A4,'Operator Summary'!$B:$B,"&lt;=5")</x:f>
        <x:v>0.5176203094675214</x:v>
      </x:c>
      <x:c r="S4" s="22" t="str">
        <x:v>SPRABERRY (TREND AREA)</x:v>
      </x:c>
      <x:c r="T4" s="24" t="n">
        <x:f>SUMIFS('Field Summary'!$G:$G,'Field Summary'!$A:$A,$A4,'Field Summary'!$B:$B,1)</x:f>
        <x:v>0.9722577265078101</x:v>
      </x:c>
    </x:row>
    <x:row r="5">
      <x:c r="A5" s="22" t="str">
        <x:v>Reeves</x:v>
      </x:c>
      <x:c r="B5" s="23" t="n">
        <x:f>SUMIFS('Annual Data'!$C:$C,'Annual Data'!$A:$A,$A5,'Annual Data'!$B:$B,2020)/1000000</x:f>
        <x:v>91.717953</x:v>
      </x:c>
      <x:c r="C5" s="23" t="n">
        <x:f>SUMIFS('Annual Data'!$C:$C,'Annual Data'!$A:$A,$A5,'Annual Data'!$B:$B,2025)/1000000</x:f>
        <x:v>81.982383</x:v>
      </x:c>
      <x:c r="D5" s="24" t="n">
        <x:f>C5/B5-1</x:f>
        <x:v>-0.10614683038117956</x:v>
      </x:c>
      <x:c r="E5" s="23" t="n">
        <x:f>SUMIFS('Annual Data'!$F:$F,'Annual Data'!$A:$A,$A5,'Annual Data'!$B:$B,2020)/1000000</x:f>
        <x:v>1065.678932</x:v>
      </x:c>
      <x:c r="F5" s="23" t="n">
        <x:f>SUMIFS('Annual Data'!$F:$F,'Annual Data'!$A:$A,$A5,'Annual Data'!$B:$B,2025)/1000000</x:f>
        <x:v>1218.870495</x:v>
      </x:c>
      <x:c r="G5" s="24" t="n">
        <x:f>F5/E5-1</x:f>
        <x:v>0.1437502031803326</x:v>
      </x:c>
      <x:c r="H5" s="23" t="n">
        <x:f>SUMIFS('Annual Data'!$G:$G,'Annual Data'!$A:$A,$A5,'Annual Data'!$B:$B,2025)/1000000</x:f>
        <x:v>97.872093</x:v>
      </x:c>
      <x:c r="I5" s="23" t="n">
        <x:f>SUMIFS('Annual Data'!$H:$H,'Annual Data'!$A:$A,$A5,'Annual Data'!$B:$B,2025)/1000000</x:f>
        <x:v>179.854476</x:v>
      </x:c>
      <x:c r="J5" s="24" t="n">
        <x:f>H5/I5</x:f>
        <x:v>0.5441737963752429</x:v>
      </x:c>
      <x:c r="K5" s="25" t="n">
        <x:f>SUMIFS('Annual Data'!$F:$F,'Annual Data'!$A:$A,$A5,'Annual Data'!$B:$B,2020)/SUMIFS('Annual Data'!$H:$H,'Annual Data'!$A:$A,$A5,'Annual Data'!$B:$B,2020)</x:f>
        <x:v>5.6574618927609635</x:v>
      </x:c>
      <x:c r="L5" s="25" t="n">
        <x:f>SUMIFS('Annual Data'!$F:$F,'Annual Data'!$A:$A,$A5,'Annual Data'!$B:$B,2025)/SUMIFS('Annual Data'!$H:$H,'Annual Data'!$A:$A,$A5,'Annual Data'!$B:$B,2025)</x:f>
        <x:v>6.77698171381623</x:v>
      </x:c>
      <x:c r="M5" s="24" t="n">
        <x:f>L5/K5-1</x:f>
        <x:v>0.19788375817215043</x:v>
      </x:c>
      <x:c r="N5" s="24" t="n">
        <x:f>(SUMIFS('Monthly Data'!$B:$B,'Monthly Data'!$G:$G,$A5,'Monthly Data'!$H:$H,2026)/COUNTIFS('Monthly Data'!$G:$G,$A5,'Monthly Data'!$H:$H,2026))/(SUMIFS('Monthly Data'!$B:$B,'Monthly Data'!$G:$G,$A5,'Monthly Data'!$H:$H,2025)/COUNTIFS('Monthly Data'!$G:$G,$A5,'Monthly Data'!$H:$H,2025))-1</x:f>
        <x:v>-0.09768331569478772</x:v>
      </x:c>
      <x:c r="O5" s="24" t="n">
        <x:f>(SUMIFS('Monthly Data'!$F:$F,'Monthly Data'!$G:$G,$A5,'Monthly Data'!$H:$H,2026)/COUNTIFS('Monthly Data'!$G:$G,$A5,'Monthly Data'!$H:$H,2026))/(SUMIFS('Monthly Data'!$F:$F,'Monthly Data'!$G:$G,$A5,'Monthly Data'!$H:$H,2025)/COUNTIFS('Monthly Data'!$G:$G,$A5,'Monthly Data'!$H:$H,2025))-1</x:f>
        <x:v>-0.06213412442968358</x:v>
      </x:c>
      <x:c r="P5" s="22" t="str">
        <x:v>NOBLE ENERGY INC</x:v>
      </x:c>
      <x:c r="Q5" s="24" t="n">
        <x:f>SUMIFS('Operator Summary'!$G:$G,'Operator Summary'!$A:$A,$A5,'Operator Summary'!$B:$B,1)</x:f>
        <x:v>0.13267816530157814</x:v>
      </x:c>
      <x:c r="R5" s="24" t="n">
        <x:f>SUMIFS('Operator Summary'!$G:$G,'Operator Summary'!$A:$A,$A5,'Operator Summary'!$B:$B,"&lt;=5")</x:f>
        <x:v>0.4764460664820115</x:v>
      </x:c>
      <x:c r="S5" s="22" t="str">
        <x:v>WOLFBONE (TREND AREA)</x:v>
      </x:c>
      <x:c r="T5" s="24" t="n">
        <x:f>SUMIFS('Field Summary'!$G:$G,'Field Summary'!$A:$A,$A5,'Field Summary'!$B:$B,1)</x:f>
        <x:v>0.3978692681119152</x:v>
      </x:c>
    </x:row>
    <x:row r="6">
      <x:c r="A6" s="22" t="str">
        <x:v>Loving</x:v>
      </x:c>
      <x:c r="B6" s="23" t="n">
        <x:f>SUMIFS('Annual Data'!$C:$C,'Annual Data'!$A:$A,$A6,'Annual Data'!$B:$B,2020)/1000000</x:f>
        <x:v>83.090941</x:v>
      </x:c>
      <x:c r="C6" s="23" t="n">
        <x:f>SUMIFS('Annual Data'!$C:$C,'Annual Data'!$A:$A,$A6,'Annual Data'!$B:$B,2025)/1000000</x:f>
        <x:v>113.754349</x:v>
      </x:c>
      <x:c r="D6" s="24" t="n">
        <x:f>C6/B6-1</x:f>
        <x:v>0.36903430904699963</x:v>
      </x:c>
      <x:c r="E6" s="23" t="n">
        <x:f>SUMIFS('Annual Data'!$F:$F,'Annual Data'!$A:$A,$A6,'Annual Data'!$B:$B,2020)/1000000</x:f>
        <x:v>419.84908</x:v>
      </x:c>
      <x:c r="F6" s="23" t="n">
        <x:f>SUMIFS('Annual Data'!$F:$F,'Annual Data'!$A:$A,$A6,'Annual Data'!$B:$B,2025)/1000000</x:f>
        <x:v>702.044089</x:v>
      </x:c>
      <x:c r="G6" s="24" t="n">
        <x:f>F6/E6-1</x:f>
        <x:v>0.6721343988654207</x:v>
      </x:c>
      <x:c r="H6" s="23" t="n">
        <x:f>SUMIFS('Annual Data'!$G:$G,'Annual Data'!$A:$A,$A6,'Annual Data'!$B:$B,2025)/1000000</x:f>
        <x:v>63.765227</x:v>
      </x:c>
      <x:c r="I6" s="23" t="n">
        <x:f>SUMIFS('Annual Data'!$H:$H,'Annual Data'!$A:$A,$A6,'Annual Data'!$B:$B,2025)/1000000</x:f>
        <x:v>177.519576</x:v>
      </x:c>
      <x:c r="J6" s="24" t="n">
        <x:f>H6/I6</x:f>
        <x:v>0.35920110016486295</x:v>
      </x:c>
      <x:c r="K6" s="25" t="n">
        <x:f>SUMIFS('Annual Data'!$F:$F,'Annual Data'!$A:$A,$A6,'Annual Data'!$B:$B,2020)/SUMIFS('Annual Data'!$H:$H,'Annual Data'!$A:$A,$A6,'Annual Data'!$B:$B,2020)</x:f>
        <x:v>3.1106314176269394</x:v>
      </x:c>
      <x:c r="L6" s="25" t="n">
        <x:f>SUMIFS('Annual Data'!$F:$F,'Annual Data'!$A:$A,$A6,'Annual Data'!$B:$B,2025)/SUMIFS('Annual Data'!$H:$H,'Annual Data'!$A:$A,$A6,'Annual Data'!$B:$B,2025)</x:f>
        <x:v>3.954741808306257</x:v>
      </x:c>
      <x:c r="M6" s="24" t="n">
        <x:f>L6/K6-1</x:f>
        <x:v>0.2713630377086844</x:v>
      </x:c>
      <x:c r="N6" s="24" t="n">
        <x:f>(SUMIFS('Monthly Data'!$B:$B,'Monthly Data'!$G:$G,$A6,'Monthly Data'!$H:$H,2026)/COUNTIFS('Monthly Data'!$G:$G,$A6,'Monthly Data'!$H:$H,2026))/(SUMIFS('Monthly Data'!$B:$B,'Monthly Data'!$G:$G,$A6,'Monthly Data'!$H:$H,2025)/COUNTIFS('Monthly Data'!$G:$G,$A6,'Monthly Data'!$H:$H,2025))-1</x:f>
        <x:v>-0.018202952398769567</x:v>
      </x:c>
      <x:c r="O6" s="24" t="n">
        <x:f>(SUMIFS('Monthly Data'!$F:$F,'Monthly Data'!$G:$G,$A6,'Monthly Data'!$H:$H,2026)/COUNTIFS('Monthly Data'!$G:$G,$A6,'Monthly Data'!$H:$H,2026))/(SUMIFS('Monthly Data'!$F:$F,'Monthly Data'!$G:$G,$A6,'Monthly Data'!$H:$H,2025)/COUNTIFS('Monthly Data'!$G:$G,$A6,'Monthly Data'!$H:$H,2025))-1</x:f>
        <x:v>-0.017077675302526463</x:v>
      </x:c>
      <x:c r="P6" s="22" t="str">
        <x:v>ANADARKO E&amp;P ONSHORE LLC</x:v>
      </x:c>
      <x:c r="Q6" s="24" t="n">
        <x:f>SUMIFS('Operator Summary'!$G:$G,'Operator Summary'!$A:$A,$A6,'Operator Summary'!$B:$B,1)</x:f>
        <x:v>0.3713728886258332</x:v>
      </x:c>
      <x:c r="R6" s="24" t="n">
        <x:f>SUMIFS('Operator Summary'!$G:$G,'Operator Summary'!$A:$A,$A6,'Operator Summary'!$B:$B,"&lt;=5")</x:f>
        <x:v>0.7786069198906027</x:v>
      </x:c>
      <x:c r="S6" s="22" t="str">
        <x:v>PHANTOM (WOLFCAMP)</x:v>
      </x:c>
      <x:c r="T6" s="24" t="n">
        <x:f>SUMIFS('Field Summary'!$G:$G,'Field Summary'!$A:$A,$A6,'Field Summary'!$B:$B,1)</x:f>
        <x:v>0.8370590890772805</x:v>
      </x:c>
    </x:row>
  </x:sheetData>
  <x:conditionalFormatting sqref="D2:D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G2:G6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N2:O6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8008a867eab4d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0" hidden="0" customWidth="1"/>
  </x:cols>
  <x:sheetData>
    <x:row r="1">
      <x:c r="A1" s="6" t="str">
        <x:v>County</x:v>
      </x:c>
      <x:c r="B1" s="6" t="str">
        <x:v>Year</x:v>
      </x:c>
      <x:c r="C1" s="6" t="str">
        <x:v>Oil (BBL)</x:v>
      </x:c>
      <x:c r="D1" s="6" t="str">
        <x:v>Casinghead (MCF)</x:v>
      </x:c>
      <x:c r="E1" s="6" t="str">
        <x:v>GW Gas (MCF)</x:v>
      </x:c>
      <x:c r="F1" s="6" t="str">
        <x:v>Gas (MCF)</x:v>
      </x:c>
      <x:c r="G1" s="6" t="str">
        <x:v>Condensate (BBL)</x:v>
      </x:c>
      <x:c r="H1" s="6" t="str">
        <x:v>Liquids (BBL)</x:v>
      </x:c>
      <x:c r="I1" s="6" t="str">
        <x:v>GOR (MCF/BBL Oil)</x:v>
      </x:c>
      <x:c r="J1" s="6" t="str">
        <x:v>GLR (MCF/BBL Liquids)</x:v>
      </x:c>
    </x:row>
    <x:row r="2">
      <x:c r="A2" t="str">
        <x:v>Howard</x:v>
      </x:c>
      <x:c r="B2" t="n">
        <x:v>2020</x:v>
      </x:c>
      <x:c r="C2" s="12" t="n">
        <x:v>96917331</x:v>
      </x:c>
      <x:c r="D2" s="12" t="n">
        <x:v>187258108</x:v>
      </x:c>
      <x:c r="E2" s="12" t="n">
        <x:v>156084</x:v>
      </x:c>
      <x:c r="F2" s="12" t="n">
        <x:v>187414192</x:v>
      </x:c>
      <x:c r="G2" s="12" t="n">
        <x:v>2381</x:v>
      </x:c>
      <x:c r="H2" s="12" t="n">
        <x:v>96919712</x:v>
      </x:c>
      <x:c r="I2" s="14" t="n">
        <x:v>1.9337531282201736</x:v>
      </x:c>
      <x:c r="J2" s="14" t="n">
        <x:v>1.9337056222370945</x:v>
      </x:c>
    </x:row>
    <x:row r="3">
      <x:c r="A3" t="str">
        <x:v>Howard</x:v>
      </x:c>
      <x:c r="B3" t="n">
        <x:v>2021</x:v>
      </x:c>
      <x:c r="C3" s="12" t="n">
        <x:v>111563435</x:v>
      </x:c>
      <x:c r="D3" s="12" t="n">
        <x:v>232692873</x:v>
      </x:c>
      <x:c r="E3" s="12" t="n">
        <x:v>188981</x:v>
      </x:c>
      <x:c r="F3" s="12" t="n">
        <x:v>232881854</x:v>
      </x:c>
      <x:c r="G3" s="12" t="n">
        <x:v>1824</x:v>
      </x:c>
      <x:c r="H3" s="12" t="n">
        <x:v>111565259</x:v>
      </x:c>
      <x:c r="I3" s="14" t="n">
        <x:v>2.087438899671743</x:v>
      </x:c>
      <x:c r="J3" s="14" t="n">
        <x:v>2.0874047717668094</x:v>
      </x:c>
    </x:row>
    <x:row r="4">
      <x:c r="A4" t="str">
        <x:v>Howard</x:v>
      </x:c>
      <x:c r="B4" t="n">
        <x:v>2022</x:v>
      </x:c>
      <x:c r="C4" s="12" t="n">
        <x:v>129435224</x:v>
      </x:c>
      <x:c r="D4" s="12" t="n">
        <x:v>295903361</x:v>
      </x:c>
      <x:c r="E4" s="12" t="n">
        <x:v>147834</x:v>
      </x:c>
      <x:c r="F4" s="12" t="n">
        <x:v>296051195</x:v>
      </x:c>
      <x:c r="G4" s="12" t="n">
        <x:v>1480</x:v>
      </x:c>
      <x:c r="H4" s="12" t="n">
        <x:v>129436704</x:v>
      </x:c>
      <x:c r="I4" s="14" t="n">
        <x:v>2.287253699966556</x:v>
      </x:c>
      <x:c r="J4" s="14" t="n">
        <x:v>2.287227547141497</x:v>
      </x:c>
    </x:row>
    <x:row r="5">
      <x:c r="A5" t="str">
        <x:v>Howard</x:v>
      </x:c>
      <x:c r="B5" t="n">
        <x:v>2023</x:v>
      </x:c>
      <x:c r="C5" s="12" t="n">
        <x:v>141311535</x:v>
      </x:c>
      <x:c r="D5" s="12" t="n">
        <x:v>369938840</x:v>
      </x:c>
      <x:c r="E5" s="12" t="n">
        <x:v>153468</x:v>
      </x:c>
      <x:c r="F5" s="12" t="n">
        <x:v>370092308</x:v>
      </x:c>
      <x:c r="G5" s="12" t="n">
        <x:v>1783</x:v>
      </x:c>
      <x:c r="H5" s="12" t="n">
        <x:v>141313318</x:v>
      </x:c>
      <x:c r="I5" s="14" t="n">
        <x:v>2.618981585615074</x:v>
      </x:c>
      <x:c r="J5" s="14" t="n">
        <x:v>2.618948541000219</x:v>
      </x:c>
    </x:row>
    <x:row r="6">
      <x:c r="A6" t="str">
        <x:v>Howard</x:v>
      </x:c>
      <x:c r="B6" t="n">
        <x:v>2024</x:v>
      </x:c>
      <x:c r="C6" s="12" t="n">
        <x:v>114580489</x:v>
      </x:c>
      <x:c r="D6" s="12" t="n">
        <x:v>396764594</x:v>
      </x:c>
      <x:c r="E6" s="12" t="n">
        <x:v>124222</x:v>
      </x:c>
      <x:c r="F6" s="12" t="n">
        <x:v>396888816</x:v>
      </x:c>
      <x:c r="G6" s="12" t="n">
        <x:v>1298</x:v>
      </x:c>
      <x:c r="H6" s="12" t="n">
        <x:v>114581787</x:v>
      </x:c>
      <x:c r="I6" s="14" t="n">
        <x:v>3.4638429235539396</x:v>
      </x:c>
      <x:c r="J6" s="14" t="n">
        <x:v>3.463803684611761</x:v>
      </x:c>
    </x:row>
    <x:row r="7">
      <x:c r="A7" t="str">
        <x:v>Howard</x:v>
      </x:c>
      <x:c r="B7" t="n">
        <x:v>2025</x:v>
      </x:c>
      <x:c r="C7" s="12" t="n">
        <x:v>98593299</x:v>
      </x:c>
      <x:c r="D7" s="12" t="n">
        <x:v>425523287</x:v>
      </x:c>
      <x:c r="E7" s="12" t="n">
        <x:v>479336</x:v>
      </x:c>
      <x:c r="F7" s="12" t="n">
        <x:v>426002623</x:v>
      </x:c>
      <x:c r="G7" s="12" t="n">
        <x:v>2175</x:v>
      </x:c>
      <x:c r="H7" s="12" t="n">
        <x:v>98595474</x:v>
      </x:c>
      <x:c r="I7" s="14" t="n">
        <x:v>4.320807066208425</x:v>
      </x:c>
      <x:c r="J7" s="14" t="n">
        <x:v>4.320711749912578</x:v>
      </x:c>
    </x:row>
    <x:row r="8">
      <x:c r="A8" t="str">
        <x:v>Howard</x:v>
      </x:c>
      <x:c r="B8" t="n">
        <x:v>2026</x:v>
      </x:c>
      <x:c r="C8" s="12" t="n">
        <x:v>19468931</x:v>
      </x:c>
      <x:c r="D8" s="12" t="n">
        <x:v>102481134</x:v>
      </x:c>
      <x:c r="E8" s="12" t="n">
        <x:v>261648</x:v>
      </x:c>
      <x:c r="F8" s="12" t="n">
        <x:v>102742782</x:v>
      </x:c>
      <x:c r="G8" s="12" t="n">
        <x:v>1534</x:v>
      </x:c>
      <x:c r="H8" s="12" t="n">
        <x:v>19470465</x:v>
      </x:c>
      <x:c r="I8" s="14" t="n">
        <x:v>5.277268793032345</x:v>
      </x:c>
      <x:c r="J8" s="14" t="n">
        <x:v>5.276853018148257</x:v>
      </x:c>
    </x:row>
    <x:row r="9">
      <x:c r="A9" t="str">
        <x:v>Loving</x:v>
      </x:c>
      <x:c r="B9" t="n">
        <x:v>2020</x:v>
      </x:c>
      <x:c r="C9" s="12" t="n">
        <x:v>83090941</x:v>
      </x:c>
      <x:c r="D9" s="12" t="n">
        <x:v>182165689</x:v>
      </x:c>
      <x:c r="E9" s="12" t="n">
        <x:v>237683391</x:v>
      </x:c>
      <x:c r="F9" s="12" t="n">
        <x:v>419849080</x:v>
      </x:c>
      <x:c r="G9" s="12" t="n">
        <x:v>51881360</x:v>
      </x:c>
      <x:c r="H9" s="12" t="n">
        <x:v>134972301</x:v>
      </x:c>
      <x:c r="I9" s="14" t="n">
        <x:v>5.052886330893761</x:v>
      </x:c>
      <x:c r="J9" s="14" t="n">
        <x:v>3.1106314176269394</x:v>
      </x:c>
    </x:row>
    <x:row r="10">
      <x:c r="A10" t="str">
        <x:v>Loving</x:v>
      </x:c>
      <x:c r="B10" t="n">
        <x:v>2021</x:v>
      </x:c>
      <x:c r="C10" s="12" t="n">
        <x:v>80397811</x:v>
      </x:c>
      <x:c r="D10" s="12" t="n">
        <x:v>182499410</x:v>
      </x:c>
      <x:c r="E10" s="12" t="n">
        <x:v>264367667</x:v>
      </x:c>
      <x:c r="F10" s="12" t="n">
        <x:v>446867077</x:v>
      </x:c>
      <x:c r="G10" s="12" t="n">
        <x:v>53634101</x:v>
      </x:c>
      <x:c r="H10" s="12" t="n">
        <x:v>134031912</x:v>
      </x:c>
      <x:c r="I10" s="14" t="n">
        <x:v>5.558199550980312</x:v>
      </x:c>
      <x:c r="J10" s="14" t="n">
        <x:v>3.3340349349041594</x:v>
      </x:c>
    </x:row>
    <x:row r="11">
      <x:c r="A11" t="str">
        <x:v>Loving</x:v>
      </x:c>
      <x:c r="B11" t="n">
        <x:v>2022</x:v>
      </x:c>
      <x:c r="C11" s="12" t="n">
        <x:v>88026773</x:v>
      </x:c>
      <x:c r="D11" s="12" t="n">
        <x:v>199997310</x:v>
      </x:c>
      <x:c r="E11" s="12" t="n">
        <x:v>301480488</x:v>
      </x:c>
      <x:c r="F11" s="12" t="n">
        <x:v>501477798</x:v>
      </x:c>
      <x:c r="G11" s="12" t="n">
        <x:v>61127940</x:v>
      </x:c>
      <x:c r="H11" s="12" t="n">
        <x:v>149154713</x:v>
      </x:c>
      <x:c r="I11" s="14" t="n">
        <x:v>5.696878130475145</x:v>
      </x:c>
      <x:c r="J11" s="14" t="n">
        <x:v>3.3621317618035977</x:v>
      </x:c>
    </x:row>
    <x:row r="12">
      <x:c r="A12" t="str">
        <x:v>Loving</x:v>
      </x:c>
      <x:c r="B12" t="n">
        <x:v>2023</x:v>
      </x:c>
      <x:c r="C12" s="12" t="n">
        <x:v>98259575</x:v>
      </x:c>
      <x:c r="D12" s="12" t="n">
        <x:v>224385594</x:v>
      </x:c>
      <x:c r="E12" s="12" t="n">
        <x:v>322788234</x:v>
      </x:c>
      <x:c r="F12" s="12" t="n">
        <x:v>547173828</x:v>
      </x:c>
      <x:c r="G12" s="12" t="n">
        <x:v>61013886</x:v>
      </x:c>
      <x:c r="H12" s="12" t="n">
        <x:v>159273461</x:v>
      </x:c>
      <x:c r="I12" s="14" t="n">
        <x:v>5.568656571128056</x:v>
      </x:c>
      <x:c r="J12" s="14" t="n">
        <x:v>3.4354362902932083</x:v>
      </x:c>
    </x:row>
    <x:row r="13">
      <x:c r="A13" t="str">
        <x:v>Loving</x:v>
      </x:c>
      <x:c r="B13" t="n">
        <x:v>2024</x:v>
      </x:c>
      <x:c r="C13" s="12" t="n">
        <x:v>109956652</x:v>
      </x:c>
      <x:c r="D13" s="12" t="n">
        <x:v>274426313</x:v>
      </x:c>
      <x:c r="E13" s="12" t="n">
        <x:v>372394746</x:v>
      </x:c>
      <x:c r="F13" s="12" t="n">
        <x:v>646821059</x:v>
      </x:c>
      <x:c r="G13" s="12" t="n">
        <x:v>66639834</x:v>
      </x:c>
      <x:c r="H13" s="12" t="n">
        <x:v>176596486</x:v>
      </x:c>
      <x:c r="I13" s="14" t="n">
        <x:v>5.882509582048751</x:v>
      </x:c>
      <x:c r="J13" s="14" t="n">
        <x:v>3.662706283974416</x:v>
      </x:c>
    </x:row>
    <x:row r="14">
      <x:c r="A14" t="str">
        <x:v>Loving</x:v>
      </x:c>
      <x:c r="B14" t="n">
        <x:v>2025</x:v>
      </x:c>
      <x:c r="C14" s="12" t="n">
        <x:v>113754349</x:v>
      </x:c>
      <x:c r="D14" s="12" t="n">
        <x:v>306161425</x:v>
      </x:c>
      <x:c r="E14" s="12" t="n">
        <x:v>395882664</x:v>
      </x:c>
      <x:c r="F14" s="12" t="n">
        <x:v>702044089</x:v>
      </x:c>
      <x:c r="G14" s="12" t="n">
        <x:v>63765227</x:v>
      </x:c>
      <x:c r="H14" s="12" t="n">
        <x:v>177519576</x:v>
      </x:c>
      <x:c r="I14" s="14" t="n">
        <x:v>6.171580209210287</x:v>
      </x:c>
      <x:c r="J14" s="14" t="n">
        <x:v>3.954741808306257</x:v>
      </x:c>
    </x:row>
    <x:row r="15">
      <x:c r="A15" t="str">
        <x:v>Loving</x:v>
      </x:c>
      <x:c r="B15" t="n">
        <x:v>2026</x:v>
      </x:c>
      <x:c r="C15" s="12" t="n">
        <x:v>27920921</x:v>
      </x:c>
      <x:c r="D15" s="12" t="n">
        <x:v>78680192</x:v>
      </x:c>
      <x:c r="E15" s="12" t="n">
        <x:v>93833510</x:v>
      </x:c>
      <x:c r="F15" s="12" t="n">
        <x:v>172513702</x:v>
      </x:c>
      <x:c r="G15" s="12" t="n">
        <x:v>14643394</x:v>
      </x:c>
      <x:c r="H15" s="12" t="n">
        <x:v>42564315</x:v>
      </x:c>
      <x:c r="I15" s="14" t="n">
        <x:v>6.178653705585142</x:v>
      </x:c>
      <x:c r="J15" s="14" t="n">
        <x:v>4.053012529392285</x:v>
      </x:c>
    </x:row>
    <x:row r="16">
      <x:c r="A16" t="str">
        <x:v>Martin</x:v>
      </x:c>
      <x:c r="B16" t="n">
        <x:v>2020</x:v>
      </x:c>
      <x:c r="C16" s="12" t="n">
        <x:v>146125413</x:v>
      </x:c>
      <x:c r="D16" s="12" t="n">
        <x:v>293836738</x:v>
      </x:c>
      <x:c r="E16" s="12" t="n">
        <x:v>6640</x:v>
      </x:c>
      <x:c r="F16" s="12" t="n">
        <x:v>293843378</x:v>
      </x:c>
      <x:c r="G16" s="12" t="n">
        <x:v>35</x:v>
      </x:c>
      <x:c r="H16" s="12" t="n">
        <x:v>146125448</x:v>
      </x:c>
      <x:c r="I16" s="14" t="n">
        <x:v>2.0108985286494963</x:v>
      </x:c>
      <x:c r="J16" s="14" t="n">
        <x:v>2.010898046998631</x:v>
      </x:c>
    </x:row>
    <x:row r="17">
      <x:c r="A17" t="str">
        <x:v>Martin</x:v>
      </x:c>
      <x:c r="B17" t="n">
        <x:v>2021</x:v>
      </x:c>
      <x:c r="C17" s="12" t="n">
        <x:v>166478333</x:v>
      </x:c>
      <x:c r="D17" s="12" t="n">
        <x:v>344659803</x:v>
      </x:c>
      <x:c r="E17" s="12" t="n">
        <x:v>2558</x:v>
      </x:c>
      <x:c r="F17" s="12" t="n">
        <x:v>344662361</x:v>
      </x:c>
      <x:c r="G17" s="12" t="n">
        <x:v>53</x:v>
      </x:c>
      <x:c r="H17" s="12" t="n">
        <x:v>166478386</x:v>
      </x:c>
      <x:c r="I17" s="14" t="n">
        <x:v>2.0703136245363534</x:v>
      </x:c>
      <x:c r="J17" s="14" t="n">
        <x:v>2.070312965432041</x:v>
      </x:c>
    </x:row>
    <x:row r="18">
      <x:c r="A18" t="str">
        <x:v>Martin</x:v>
      </x:c>
      <x:c r="B18" t="n">
        <x:v>2022</x:v>
      </x:c>
      <x:c r="C18" s="12" t="n">
        <x:v>189378813</x:v>
      </x:c>
      <x:c r="D18" s="12" t="n">
        <x:v>440649905</x:v>
      </x:c>
      <x:c r="E18" s="12" t="n">
        <x:v>5614</x:v>
      </x:c>
      <x:c r="F18" s="12" t="n">
        <x:v>440655519</x:v>
      </x:c>
      <x:c r="G18" s="12" t="n">
        <x:v>82</x:v>
      </x:c>
      <x:c r="H18" s="12" t="n">
        <x:v>189378895</x:v>
      </x:c>
      <x:c r="I18" s="14" t="n">
        <x:v>2.326846979445372</x:v>
      </x:c>
      <x:c r="J18" s="14" t="n">
        <x:v>2.326845971933673</x:v>
      </x:c>
    </x:row>
    <x:row r="19">
      <x:c r="A19" t="str">
        <x:v>Martin</x:v>
      </x:c>
      <x:c r="B19" t="n">
        <x:v>2023</x:v>
      </x:c>
      <x:c r="C19" s="12" t="n">
        <x:v>222100313</x:v>
      </x:c>
      <x:c r="D19" s="12" t="n">
        <x:v>542465697</x:v>
      </x:c>
      <x:c r="E19" s="12" t="n">
        <x:v>7898</x:v>
      </x:c>
      <x:c r="F19" s="12" t="n">
        <x:v>542473595</x:v>
      </x:c>
      <x:c r="G19" s="12" t="n">
        <x:v>58</x:v>
      </x:c>
      <x:c r="H19" s="12" t="n">
        <x:v>222100371</x:v>
      </x:c>
      <x:c r="I19" s="14" t="n">
        <x:v>2.442471096382471</x:v>
      </x:c>
      <x:c r="J19" s="14" t="n">
        <x:v>2.4424704585477706</x:v>
      </x:c>
    </x:row>
    <x:row r="20">
      <x:c r="A20" t="str">
        <x:v>Martin</x:v>
      </x:c>
      <x:c r="B20" t="n">
        <x:v>2024</x:v>
      </x:c>
      <x:c r="C20" s="12" t="n">
        <x:v>250902498</x:v>
      </x:c>
      <x:c r="D20" s="12" t="n">
        <x:v>657681333</x:v>
      </x:c>
      <x:c r="E20" s="12" t="n">
        <x:v>3846083</x:v>
      </x:c>
      <x:c r="F20" s="12" t="n">
        <x:v>661527416</x:v>
      </x:c>
      <x:c r="G20" s="12" t="n">
        <x:v>782522</x:v>
      </x:c>
      <x:c r="H20" s="12" t="n">
        <x:v>251685020</x:v>
      </x:c>
      <x:c r="I20" s="14" t="n">
        <x:v>2.636591589454801</x:v>
      </x:c>
      <x:c r="J20" s="14" t="n">
        <x:v>2.6283940776451455</x:v>
      </x:c>
    </x:row>
    <x:row r="21">
      <x:c r="A21" t="str">
        <x:v>Martin</x:v>
      </x:c>
      <x:c r="B21" t="n">
        <x:v>2025</x:v>
      </x:c>
      <x:c r="C21" s="12" t="n">
        <x:v>258327294</x:v>
      </x:c>
      <x:c r="D21" s="12" t="n">
        <x:v>745702935</x:v>
      </x:c>
      <x:c r="E21" s="12" t="n">
        <x:v>4026511</x:v>
      </x:c>
      <x:c r="F21" s="12" t="n">
        <x:v>749729446</x:v>
      </x:c>
      <x:c r="G21" s="12" t="n">
        <x:v>416014</x:v>
      </x:c>
      <x:c r="H21" s="12" t="n">
        <x:v>258743308</x:v>
      </x:c>
      <x:c r="I21" s="14" t="n">
        <x:v>2.9022463495475628</x:v>
      </x:c>
      <x:c r="J21" s="14" t="n">
        <x:v>2.897580044852793</x:v>
      </x:c>
    </x:row>
    <x:row r="22">
      <x:c r="A22" t="str">
        <x:v>Martin</x:v>
      </x:c>
      <x:c r="B22" t="n">
        <x:v>2026</x:v>
      </x:c>
      <x:c r="C22" s="12" t="n">
        <x:v>63987182</x:v>
      </x:c>
      <x:c r="D22" s="12" t="n">
        <x:v>192882629</x:v>
      </x:c>
      <x:c r="E22" s="12" t="n">
        <x:v>620065</x:v>
      </x:c>
      <x:c r="F22" s="12" t="n">
        <x:v>193502694</x:v>
      </x:c>
      <x:c r="G22" s="12" t="n">
        <x:v>64326</x:v>
      </x:c>
      <x:c r="H22" s="12" t="n">
        <x:v>64051508</x:v>
      </x:c>
      <x:c r="I22" s="14" t="n">
        <x:v>3.024085261326245</x:v>
      </x:c>
      <x:c r="J22" s="14" t="n">
        <x:v>3.021048216382353</x:v>
      </x:c>
    </x:row>
    <x:row r="23">
      <x:c r="A23" t="str">
        <x:v>Midland</x:v>
      </x:c>
      <x:c r="B23" t="n">
        <x:v>2020</x:v>
      </x:c>
      <x:c r="C23" s="12" t="n">
        <x:v>191675933</x:v>
      </x:c>
      <x:c r="D23" s="12" t="n">
        <x:v>546016419</x:v>
      </x:c>
      <x:c r="E23" s="12" t="n">
        <x:v>3786184</x:v>
      </x:c>
      <x:c r="F23" s="12" t="n">
        <x:v>549802603</x:v>
      </x:c>
      <x:c r="G23" s="12" t="n">
        <x:v>68507</x:v>
      </x:c>
      <x:c r="H23" s="12" t="n">
        <x:v>191744440</x:v>
      </x:c>
      <x:c r="I23" s="14" t="n">
        <x:v>2.8683966442464115</x:v>
      </x:c>
      <x:c r="J23" s="14" t="n">
        <x:v>2.867371815318348</x:v>
      </x:c>
    </x:row>
    <x:row r="24">
      <x:c r="A24" t="str">
        <x:v>Midland</x:v>
      </x:c>
      <x:c r="B24" t="n">
        <x:v>2021</x:v>
      </x:c>
      <x:c r="C24" s="12" t="n">
        <x:v>199143122</x:v>
      </x:c>
      <x:c r="D24" s="12" t="n">
        <x:v>627583016</x:v>
      </x:c>
      <x:c r="E24" s="12" t="n">
        <x:v>3385684</x:v>
      </x:c>
      <x:c r="F24" s="12" t="n">
        <x:v>630968700</x:v>
      </x:c>
      <x:c r="G24" s="12" t="n">
        <x:v>69577</x:v>
      </x:c>
      <x:c r="H24" s="12" t="n">
        <x:v>199212699</x:v>
      </x:c>
      <x:c r="I24" s="14" t="n">
        <x:v>3.168418239420792</x:v>
      </x:c>
      <x:c r="J24" s="14" t="n">
        <x:v>3.1673116380999384</x:v>
      </x:c>
    </x:row>
    <x:row r="25">
      <x:c r="A25" t="str">
        <x:v>Midland</x:v>
      </x:c>
      <x:c r="B25" t="n">
        <x:v>2022</x:v>
      </x:c>
      <x:c r="C25" s="12" t="n">
        <x:v>221678081</x:v>
      </x:c>
      <x:c r="D25" s="12" t="n">
        <x:v>716929336</x:v>
      </x:c>
      <x:c r="E25" s="12" t="n">
        <x:v>3084609</x:v>
      </x:c>
      <x:c r="F25" s="12" t="n">
        <x:v>720013945</x:v>
      </x:c>
      <x:c r="G25" s="12" t="n">
        <x:v>63259</x:v>
      </x:c>
      <x:c r="H25" s="12" t="n">
        <x:v>221741340</x:v>
      </x:c>
      <x:c r="I25" s="14" t="n">
        <x:v>3.2480159596834475</x:v>
      </x:c>
      <x:c r="J25" s="14" t="n">
        <x:v>3.2470893564546874</x:v>
      </x:c>
    </x:row>
    <x:row r="26">
      <x:c r="A26" t="str">
        <x:v>Midland</x:v>
      </x:c>
      <x:c r="B26" t="n">
        <x:v>2023</x:v>
      </x:c>
      <x:c r="C26" s="12" t="n">
        <x:v>234518111</x:v>
      </x:c>
      <x:c r="D26" s="12" t="n">
        <x:v>826221212</x:v>
      </x:c>
      <x:c r="E26" s="12" t="n">
        <x:v>2859384</x:v>
      </x:c>
      <x:c r="F26" s="12" t="n">
        <x:v>829080596</x:v>
      </x:c>
      <x:c r="G26" s="12" t="n">
        <x:v>59219</x:v>
      </x:c>
      <x:c r="H26" s="12" t="n">
        <x:v>234577330</x:v>
      </x:c>
      <x:c r="I26" s="14" t="n">
        <x:v>3.5352518936160116</x:v>
      </x:c>
      <x:c r="J26" s="14" t="n">
        <x:v>3.534359419983167</x:v>
      </x:c>
    </x:row>
    <x:row r="27">
      <x:c r="A27" t="str">
        <x:v>Midland</x:v>
      </x:c>
      <x:c r="B27" t="n">
        <x:v>2024</x:v>
      </x:c>
      <x:c r="C27" s="12" t="n">
        <x:v>234762267</x:v>
      </x:c>
      <x:c r="D27" s="12" t="n">
        <x:v>912833128</x:v>
      </x:c>
      <x:c r="E27" s="12" t="n">
        <x:v>2441123</x:v>
      </x:c>
      <x:c r="F27" s="12" t="n">
        <x:v>915274251</x:v>
      </x:c>
      <x:c r="G27" s="12" t="n">
        <x:v>50801</x:v>
      </x:c>
      <x:c r="H27" s="12" t="n">
        <x:v>234813068</x:v>
      </x:c>
      <x:c r="I27" s="14" t="n">
        <x:v>3.89872811630329</x:v>
      </x:c>
      <x:c r="J27" s="14" t="n">
        <x:v>3.8978846398787312</x:v>
      </x:c>
    </x:row>
    <x:row r="28">
      <x:c r="A28" t="str">
        <x:v>Midland</x:v>
      </x:c>
      <x:c r="B28" t="n">
        <x:v>2025</x:v>
      </x:c>
      <x:c r="C28" s="12" t="n">
        <x:v>241692085</x:v>
      </x:c>
      <x:c r="D28" s="12" t="n">
        <x:v>977174118</x:v>
      </x:c>
      <x:c r="E28" s="12" t="n">
        <x:v>5430136</x:v>
      </x:c>
      <x:c r="F28" s="12" t="n">
        <x:v>982604254</x:v>
      </x:c>
      <x:c r="G28" s="12" t="n">
        <x:v>764880</x:v>
      </x:c>
      <x:c r="H28" s="12" t="n">
        <x:v>242456965</x:v>
      </x:c>
      <x:c r="I28" s="14" t="n">
        <x:v>4.0655210285434045</x:v>
      </x:c>
      <x:c r="J28" s="14" t="n">
        <x:v>4.052695512376805</x:v>
      </x:c>
    </x:row>
    <x:row r="29">
      <x:c r="A29" t="str">
        <x:v>Midland</x:v>
      </x:c>
      <x:c r="B29" t="n">
        <x:v>2026</x:v>
      </x:c>
      <x:c r="C29" s="12" t="n">
        <x:v>56001653</x:v>
      </x:c>
      <x:c r="D29" s="12" t="n">
        <x:v>231108585</x:v>
      </x:c>
      <x:c r="E29" s="12" t="n">
        <x:v>1512222</x:v>
      </x:c>
      <x:c r="F29" s="12" t="n">
        <x:v>232620807</x:v>
      </x:c>
      <x:c r="G29" s="12" t="n">
        <x:v>188718</x:v>
      </x:c>
      <x:c r="H29" s="12" t="n">
        <x:v>56190371</x:v>
      </x:c>
      <x:c r="I29" s="14" t="n">
        <x:v>4.153820370266571</x:v>
      </x:c>
      <x:c r="J29" s="14" t="n">
        <x:v>4.139869569467694</x:v>
      </x:c>
    </x:row>
    <x:row r="30">
      <x:c r="A30" t="str">
        <x:v>Reeves</x:v>
      </x:c>
      <x:c r="B30" t="n">
        <x:v>2020</x:v>
      </x:c>
      <x:c r="C30" s="12" t="n">
        <x:v>91717953</x:v>
      </x:c>
      <x:c r="D30" s="12" t="n">
        <x:v>251242158</x:v>
      </x:c>
      <x:c r="E30" s="12" t="n">
        <x:v>814436774</x:v>
      </x:c>
      <x:c r="F30" s="12" t="n">
        <x:v>1065678932</x:v>
      </x:c>
      <x:c r="G30" s="12" t="n">
        <x:v>96649013</x:v>
      </x:c>
      <x:c r="H30" s="12" t="n">
        <x:v>188366966</x:v>
      </x:c>
      <x:c r="I30" s="14" t="n">
        <x:v>11.619087617448244</x:v>
      </x:c>
      <x:c r="J30" s="14" t="n">
        <x:v>5.6574618927609635</x:v>
      </x:c>
    </x:row>
    <x:row r="31">
      <x:c r="A31" t="str">
        <x:v>Reeves</x:v>
      </x:c>
      <x:c r="B31" t="n">
        <x:v>2021</x:v>
      </x:c>
      <x:c r="C31" s="12" t="n">
        <x:v>76824850</x:v>
      </x:c>
      <x:c r="D31" s="12" t="n">
        <x:v>227742695</x:v>
      </x:c>
      <x:c r="E31" s="12" t="n">
        <x:v>814690110</x:v>
      </x:c>
      <x:c r="F31" s="12" t="n">
        <x:v>1042432805</x:v>
      </x:c>
      <x:c r="G31" s="12" t="n">
        <x:v>94428555</x:v>
      </x:c>
      <x:c r="H31" s="12" t="n">
        <x:v>171253405</x:v>
      </x:c>
      <x:c r="I31" s="14" t="n">
        <x:v>13.568953339967472</x:v>
      </x:c>
      <x:c r="J31" s="14" t="n">
        <x:v>6.087077830656856</x:v>
      </x:c>
    </x:row>
    <x:row r="32">
      <x:c r="A32" t="str">
        <x:v>Reeves</x:v>
      </x:c>
      <x:c r="B32" t="n">
        <x:v>2022</x:v>
      </x:c>
      <x:c r="C32" s="12" t="n">
        <x:v>75065576</x:v>
      </x:c>
      <x:c r="D32" s="12" t="n">
        <x:v>224155887</x:v>
      </x:c>
      <x:c r="E32" s="12" t="n">
        <x:v>866173637</x:v>
      </x:c>
      <x:c r="F32" s="12" t="n">
        <x:v>1090329524</x:v>
      </x:c>
      <x:c r="G32" s="12" t="n">
        <x:v>97333495</x:v>
      </x:c>
      <x:c r="H32" s="12" t="n">
        <x:v>172399071</x:v>
      </x:c>
      <x:c r="I32" s="14" t="n">
        <x:v>14.525027077658073</x:v>
      </x:c>
      <x:c r="J32" s="14" t="n">
        <x:v>6.3244512727101645</x:v>
      </x:c>
    </x:row>
    <x:row r="33">
      <x:c r="A33" t="str">
        <x:v>Reeves</x:v>
      </x:c>
      <x:c r="B33" t="n">
        <x:v>2023</x:v>
      </x:c>
      <x:c r="C33" s="12" t="n">
        <x:v>80971027</x:v>
      </x:c>
      <x:c r="D33" s="12" t="n">
        <x:v>240140942</x:v>
      </x:c>
      <x:c r="E33" s="12" t="n">
        <x:v>895699531</x:v>
      </x:c>
      <x:c r="F33" s="12" t="n">
        <x:v>1135840473</x:v>
      </x:c>
      <x:c r="G33" s="12" t="n">
        <x:v>99730617</x:v>
      </x:c>
      <x:c r="H33" s="12" t="n">
        <x:v>180701644</x:v>
      </x:c>
      <x:c r="I33" s="14" t="n">
        <x:v>14.027739490077112</x:v>
      </x:c>
      <x:c r="J33" s="14" t="n">
        <x:v>6.285722962210571</x:v>
      </x:c>
    </x:row>
    <x:row r="34">
      <x:c r="A34" t="str">
        <x:v>Reeves</x:v>
      </x:c>
      <x:c r="B34" t="n">
        <x:v>2024</x:v>
      </x:c>
      <x:c r="C34" s="12" t="n">
        <x:v>83690822</x:v>
      </x:c>
      <x:c r="D34" s="12" t="n">
        <x:v>251439427</x:v>
      </x:c>
      <x:c r="E34" s="12" t="n">
        <x:v>907175755</x:v>
      </x:c>
      <x:c r="F34" s="12" t="n">
        <x:v>1158615182</x:v>
      </x:c>
      <x:c r="G34" s="12" t="n">
        <x:v>101470651</x:v>
      </x:c>
      <x:c r="H34" s="12" t="n">
        <x:v>185161473</x:v>
      </x:c>
      <x:c r="I34" s="14" t="n">
        <x:v>13.843993335374337</x:v>
      </x:c>
      <x:c r="J34" s="14" t="n">
        <x:v>6.257323206755868</x:v>
      </x:c>
    </x:row>
    <x:row r="35">
      <x:c r="A35" t="str">
        <x:v>Reeves</x:v>
      </x:c>
      <x:c r="B35" t="n">
        <x:v>2025</x:v>
      </x:c>
      <x:c r="C35" s="12" t="n">
        <x:v>81982383</x:v>
      </x:c>
      <x:c r="D35" s="12" t="n">
        <x:v>254880809</x:v>
      </x:c>
      <x:c r="E35" s="12" t="n">
        <x:v>963989686</x:v>
      </x:c>
      <x:c r="F35" s="12" t="n">
        <x:v>1218870495</x:v>
      </x:c>
      <x:c r="G35" s="12" t="n">
        <x:v>97872093</x:v>
      </x:c>
      <x:c r="H35" s="12" t="n">
        <x:v>179854476</x:v>
      </x:c>
      <x:c r="I35" s="14" t="n">
        <x:v>14.867468477953366</x:v>
      </x:c>
      <x:c r="J35" s="14" t="n">
        <x:v>6.77698171381623</x:v>
      </x:c>
    </x:row>
    <x:row r="36">
      <x:c r="A36" t="str">
        <x:v>Reeves</x:v>
      </x:c>
      <x:c r="B36" t="n">
        <x:v>2026</x:v>
      </x:c>
      <x:c r="C36" s="12" t="n">
        <x:v>18493518</x:v>
      </x:c>
      <x:c r="D36" s="12" t="n">
        <x:v>62019660</x:v>
      </x:c>
      <x:c r="E36" s="12" t="n">
        <x:v>223764601</x:v>
      </x:c>
      <x:c r="F36" s="12" t="n">
        <x:v>285784261</x:v>
      </x:c>
      <x:c r="G36" s="12" t="n">
        <x:v>22559159</x:v>
      </x:c>
      <x:c r="H36" s="12" t="n">
        <x:v>41052677</x:v>
      </x:c>
      <x:c r="I36" s="14" t="n">
        <x:v>15.45321236338051</x:v>
      </x:c>
      <x:c r="J36" s="14" t="n">
        <x:v>6.9614037837288905</x:v>
      </x:c>
    </x:row>
  </x:sheetData>
  <x:pageMargins left="0.7" right="0.7" top="0.75" bottom="0.75" header="0.3" footer="0.3"/>
  <x:tableParts count="1">
    <x:tablePart xmlns:r="http://schemas.openxmlformats.org/officeDocument/2006/relationships" r:id="Rc30f0f7a08174f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9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16" t="str">
        <x:v>Date</x:v>
      </x:c>
      <x:c r="B1" s="6" t="str">
        <x:v>Oil (BBL)</x:v>
      </x:c>
      <x:c r="C1" s="6" t="str">
        <x:v>Casinghead (MCF)</x:v>
      </x:c>
      <x:c r="D1" s="6" t="str">
        <x:v>GW Gas (MCF)</x:v>
      </x:c>
      <x:c r="E1" s="6" t="str">
        <x:v>Condensate (BBL)</x:v>
      </x:c>
      <x:c r="F1" s="6" t="str">
        <x:v>Gas (MCF)</x:v>
      </x:c>
      <x:c r="G1" s="6" t="str">
        <x:v>County</x:v>
      </x:c>
      <x:c r="H1" s="6" t="str">
        <x:v>Year</x:v>
      </x:c>
      <x:c r="I1" s="6" t="str">
        <x:v>Liquids (BBL)</x:v>
      </x:c>
      <x:c r="J1" s="6" t="str">
        <x:v>GOR (MCF/BBL Oil)</x:v>
      </x:c>
      <x:c r="K1" s="6" t="str">
        <x:v>GLR (MCF/BBL Liquids)</x:v>
      </x:c>
    </x:row>
    <x:row r="2">
      <x:c r="A2" t="n">
        <x:v>43831</x:v>
      </x:c>
      <x:c r="B2" s="12" t="n">
        <x:v>17030249</x:v>
      </x:c>
      <x:c r="C2" s="12" t="n">
        <x:v>41328706</x:v>
      </x:c>
      <x:c r="D2" s="12" t="n">
        <x:v>321266</x:v>
      </x:c>
      <x:c r="E2" s="12" t="n">
        <x:v>6888</x:v>
      </x:c>
      <x:c r="F2" s="12" t="n">
        <x:v>41649972</x:v>
      </x:c>
      <x:c r="G2" t="str">
        <x:v>Midland</x:v>
      </x:c>
      <x:c r="H2" t="n">
        <x:v>2020</x:v>
      </x:c>
      <x:c r="I2" s="12" t="n">
        <x:v>17037137</x:v>
      </x:c>
      <x:c r="J2" s="14" t="n">
        <x:v>2.4456466843203524</x:v>
      </x:c>
      <x:c r="K2" s="14" t="n">
        <x:v>2.4446579258005614</x:v>
      </x:c>
    </x:row>
    <x:row r="3">
      <x:c r="A3" t="n">
        <x:v>43862</x:v>
      </x:c>
      <x:c r="B3" s="12" t="n">
        <x:v>15772319</x:v>
      </x:c>
      <x:c r="C3" s="12" t="n">
        <x:v>38415798</x:v>
      </x:c>
      <x:c r="D3" s="12" t="n">
        <x:v>312327</x:v>
      </x:c>
      <x:c r="E3" s="12" t="n">
        <x:v>6636</x:v>
      </x:c>
      <x:c r="F3" s="12" t="n">
        <x:v>38728125</x:v>
      </x:c>
      <x:c r="G3" t="str">
        <x:v>Midland</x:v>
      </x:c>
      <x:c r="H3" t="n">
        <x:v>2020</x:v>
      </x:c>
      <x:c r="I3" s="12" t="n">
        <x:v>15778955</x:v>
      </x:c>
      <x:c r="J3" s="14" t="n">
        <x:v>2.45544900531114</x:v>
      </x:c>
      <x:c r="K3" s="14" t="n">
        <x:v>2.4544163412596083</x:v>
      </x:c>
    </x:row>
    <x:row r="4">
      <x:c r="A4" t="n">
        <x:v>43891</x:v>
      </x:c>
      <x:c r="B4" s="12" t="n">
        <x:v>17266683</x:v>
      </x:c>
      <x:c r="C4" s="12" t="n">
        <x:v>44144100</x:v>
      </x:c>
      <x:c r="D4" s="12" t="n">
        <x:v>370431</x:v>
      </x:c>
      <x:c r="E4" s="12" t="n">
        <x:v>7230</x:v>
      </x:c>
      <x:c r="F4" s="12" t="n">
        <x:v>44514531</x:v>
      </x:c>
      <x:c r="G4" t="str">
        <x:v>Midland</x:v>
      </x:c>
      <x:c r="H4" t="n">
        <x:v>2020</x:v>
      </x:c>
      <x:c r="I4" s="12" t="n">
        <x:v>17273913</x:v>
      </x:c>
      <x:c r="J4" s="14" t="n">
        <x:v>2.5780592022219904</x:v>
      </x:c>
      <x:c r="K4" s="14" t="n">
        <x:v>2.5769801549886235</x:v>
      </x:c>
    </x:row>
    <x:row r="5">
      <x:c r="A5" t="n">
        <x:v>43922</x:v>
      </x:c>
      <x:c r="B5" s="12" t="n">
        <x:v>15963725</x:v>
      </x:c>
      <x:c r="C5" s="12" t="n">
        <x:v>43160681</x:v>
      </x:c>
      <x:c r="D5" s="12" t="n">
        <x:v>339924</x:v>
      </x:c>
      <x:c r="E5" s="12" t="n">
        <x:v>6056</x:v>
      </x:c>
      <x:c r="F5" s="12" t="n">
        <x:v>43500605</x:v>
      </x:c>
      <x:c r="G5" t="str">
        <x:v>Midland</x:v>
      </x:c>
      <x:c r="H5" t="n">
        <x:v>2020</x:v>
      </x:c>
      <x:c r="I5" s="12" t="n">
        <x:v>15969781</x:v>
      </x:c>
      <x:c r="J5" s="14" t="n">
        <x:v>2.7249658209471788</x:v>
      </x:c>
      <x:c r="K5" s="14" t="n">
        <x:v>2.7239324697063787</x:v>
      </x:c>
    </x:row>
    <x:row r="6">
      <x:c r="A6" t="n">
        <x:v>43952</x:v>
      </x:c>
      <x:c r="B6" s="12" t="n">
        <x:v>14639625</x:v>
      </x:c>
      <x:c r="C6" s="12" t="n">
        <x:v>40822467</x:v>
      </x:c>
      <x:c r="D6" s="12" t="n">
        <x:v>337548</x:v>
      </x:c>
      <x:c r="E6" s="12" t="n">
        <x:v>5265</x:v>
      </x:c>
      <x:c r="F6" s="12" t="n">
        <x:v>41160015</x:v>
      </x:c>
      <x:c r="G6" t="str">
        <x:v>Midland</x:v>
      </x:c>
      <x:c r="H6" t="n">
        <x:v>2020</x:v>
      </x:c>
      <x:c r="I6" s="12" t="n">
        <x:v>14644890</x:v>
      </x:c>
      <x:c r="J6" s="14" t="n">
        <x:v>2.8115484515484517</x:v>
      </x:c>
      <x:c r="K6" s="14" t="n">
        <x:v>2.810537668770472</x:v>
      </x:c>
    </x:row>
    <x:row r="7">
      <x:c r="A7" t="n">
        <x:v>43983</x:v>
      </x:c>
      <x:c r="B7" s="12" t="n">
        <x:v>15936333</x:v>
      </x:c>
      <x:c r="C7" s="12" t="n">
        <x:v>43309365</x:v>
      </x:c>
      <x:c r="D7" s="12" t="n">
        <x:v>300023</x:v>
      </x:c>
      <x:c r="E7" s="12" t="n">
        <x:v>4791</x:v>
      </x:c>
      <x:c r="F7" s="12" t="n">
        <x:v>43609388</x:v>
      </x:c>
      <x:c r="G7" t="str">
        <x:v>Midland</x:v>
      </x:c>
      <x:c r="H7" t="n">
        <x:v>2020</x:v>
      </x:c>
      <x:c r="I7" s="12" t="n">
        <x:v>15941124</x:v>
      </x:c>
      <x:c r="J7" s="14" t="n">
        <x:v>2.736475699899092</x:v>
      </x:c>
      <x:c r="K7" s="14" t="n">
        <x:v>2.735653270120727</x:v>
      </x:c>
    </x:row>
    <x:row r="8">
      <x:c r="A8" t="n">
        <x:v>44013</x:v>
      </x:c>
      <x:c r="B8" s="12" t="n">
        <x:v>16656274</x:v>
      </x:c>
      <x:c r="C8" s="12" t="n">
        <x:v>48469586</x:v>
      </x:c>
      <x:c r="D8" s="12" t="n">
        <x:v>315319</x:v>
      </x:c>
      <x:c r="E8" s="12" t="n">
        <x:v>4996</x:v>
      </x:c>
      <x:c r="F8" s="12" t="n">
        <x:v>48784905</x:v>
      </x:c>
      <x:c r="G8" t="str">
        <x:v>Midland</x:v>
      </x:c>
      <x:c r="H8" t="n">
        <x:v>2020</x:v>
      </x:c>
      <x:c r="I8" s="12" t="n">
        <x:v>16661270</x:v>
      </x:c>
      <x:c r="J8" s="14" t="n">
        <x:v>2.928920657765356</x:v>
      </x:c>
      <x:c r="K8" s="14" t="n">
        <x:v>2.928042400129162</x:v>
      </x:c>
    </x:row>
    <x:row r="9">
      <x:c r="A9" t="n">
        <x:v>44044</x:v>
      </x:c>
      <x:c r="B9" s="12" t="n">
        <x:v>16088773</x:v>
      </x:c>
      <x:c r="C9" s="12" t="n">
        <x:v>49640294</x:v>
      </x:c>
      <x:c r="D9" s="12" t="n">
        <x:v>327945</x:v>
      </x:c>
      <x:c r="E9" s="12" t="n">
        <x:v>5572</x:v>
      </x:c>
      <x:c r="F9" s="12" t="n">
        <x:v>49968239</x:v>
      </x:c>
      <x:c r="G9" t="str">
        <x:v>Midland</x:v>
      </x:c>
      <x:c r="H9" t="n">
        <x:v>2020</x:v>
      </x:c>
      <x:c r="I9" s="12" t="n">
        <x:v>16094345</x:v>
      </x:c>
      <x:c r="J9" s="14" t="n">
        <x:v>3.1057830824016226</x:v>
      </x:c>
      <x:c r="K9" s="14" t="n">
        <x:v>3.104707833714264</x:v>
      </x:c>
    </x:row>
    <x:row r="10">
      <x:c r="A10" t="n">
        <x:v>44075</x:v>
      </x:c>
      <x:c r="B10" s="12" t="n">
        <x:v>15105744</x:v>
      </x:c>
      <x:c r="C10" s="12" t="n">
        <x:v>48817628</x:v>
      </x:c>
      <x:c r="D10" s="12" t="n">
        <x:v>304174</x:v>
      </x:c>
      <x:c r="E10" s="12" t="n">
        <x:v>5215</x:v>
      </x:c>
      <x:c r="F10" s="12" t="n">
        <x:v>49121802</x:v>
      </x:c>
      <x:c r="G10" t="str">
        <x:v>Midland</x:v>
      </x:c>
      <x:c r="H10" t="n">
        <x:v>2020</x:v>
      </x:c>
      <x:c r="I10" s="12" t="n">
        <x:v>15110959</x:v>
      </x:c>
      <x:c r="J10" s="14" t="n">
        <x:v>3.2518624703291676</x:v>
      </x:c>
      <x:c r="K10" s="14" t="n">
        <x:v>3.2507402078187098</x:v>
      </x:c>
    </x:row>
    <x:row r="11">
      <x:c r="A11" t="n">
        <x:v>44105</x:v>
      </x:c>
      <x:c r="B11" s="12" t="n">
        <x:v>15536200</x:v>
      </x:c>
      <x:c r="C11" s="12" t="n">
        <x:v>49882520</x:v>
      </x:c>
      <x:c r="D11" s="12" t="n">
        <x:v>296650</x:v>
      </x:c>
      <x:c r="E11" s="12" t="n">
        <x:v>5165</x:v>
      </x:c>
      <x:c r="F11" s="12" t="n">
        <x:v>50179170</x:v>
      </x:c>
      <x:c r="G11" t="str">
        <x:v>Midland</x:v>
      </x:c>
      <x:c r="H11" t="n">
        <x:v>2020</x:v>
      </x:c>
      <x:c r="I11" s="12" t="n">
        <x:v>15541365</x:v>
      </x:c>
      <x:c r="J11" s="14" t="n">
        <x:v>3.229822607844904</x:v>
      </x:c>
      <x:c r="K11" s="14" t="n">
        <x:v>3.2287492121830996</x:v>
      </x:c>
    </x:row>
    <x:row r="12">
      <x:c r="A12" t="n">
        <x:v>44136</x:v>
      </x:c>
      <x:c r="B12" s="12" t="n">
        <x:v>15360769</x:v>
      </x:c>
      <x:c r="C12" s="12" t="n">
        <x:v>47967512</x:v>
      </x:c>
      <x:c r="D12" s="12" t="n">
        <x:v>273196</x:v>
      </x:c>
      <x:c r="E12" s="12" t="n">
        <x:v>4596</x:v>
      </x:c>
      <x:c r="F12" s="12" t="n">
        <x:v>48240708</x:v>
      </x:c>
      <x:c r="G12" t="str">
        <x:v>Midland</x:v>
      </x:c>
      <x:c r="H12" t="n">
        <x:v>2020</x:v>
      </x:c>
      <x:c r="I12" s="12" t="n">
        <x:v>15365365</x:v>
      </x:c>
      <x:c r="J12" s="14" t="n">
        <x:v>3.1405138635962824</x:v>
      </x:c>
      <x:c r="K12" s="14" t="n">
        <x:v>3.1395744910713153</x:v>
      </x:c>
    </x:row>
    <x:row r="13">
      <x:c r="A13" t="n">
        <x:v>44166</x:v>
      </x:c>
      <x:c r="B13" s="12" t="n">
        <x:v>16319239</x:v>
      </x:c>
      <x:c r="C13" s="12" t="n">
        <x:v>50057762</x:v>
      </x:c>
      <x:c r="D13" s="12" t="n">
        <x:v>287381</x:v>
      </x:c>
      <x:c r="E13" s="12" t="n">
        <x:v>6097</x:v>
      </x:c>
      <x:c r="F13" s="12" t="n">
        <x:v>50345143</x:v>
      </x:c>
      <x:c r="G13" t="str">
        <x:v>Midland</x:v>
      </x:c>
      <x:c r="H13" t="n">
        <x:v>2020</x:v>
      </x:c>
      <x:c r="I13" s="12" t="n">
        <x:v>16325336</x:v>
      </x:c>
      <x:c r="J13" s="14" t="n">
        <x:v>3.0850178124114733</x:v>
      </x:c>
      <x:c r="K13" s="14" t="n">
        <x:v>3.083865655199991</x:v>
      </x:c>
    </x:row>
    <x:row r="14">
      <x:c r="A14" t="n">
        <x:v>44197</x:v>
      </x:c>
      <x:c r="B14" s="12" t="n">
        <x:v>16387771</x:v>
      </x:c>
      <x:c r="C14" s="12" t="n">
        <x:v>50366003</x:v>
      </x:c>
      <x:c r="D14" s="12" t="n">
        <x:v>260263</x:v>
      </x:c>
      <x:c r="E14" s="12" t="n">
        <x:v>5204</x:v>
      </x:c>
      <x:c r="F14" s="12" t="n">
        <x:v>50626266</x:v>
      </x:c>
      <x:c r="G14" t="str">
        <x:v>Midland</x:v>
      </x:c>
      <x:c r="H14" t="n">
        <x:v>2021</x:v>
      </x:c>
      <x:c r="I14" s="12" t="n">
        <x:v>16392975</x:v>
      </x:c>
      <x:c r="J14" s="14" t="n">
        <x:v>3.089271018004828</x:v>
      </x:c>
      <x:c r="K14" s="14" t="n">
        <x:v>3.0882903194813633</x:v>
      </x:c>
    </x:row>
    <x:row r="15">
      <x:c r="A15" t="n">
        <x:v>44228</x:v>
      </x:c>
      <x:c r="B15" s="12" t="n">
        <x:v>12020070</x:v>
      </x:c>
      <x:c r="C15" s="12" t="n">
        <x:v>34068713</x:v>
      </x:c>
      <x:c r="D15" s="12" t="n">
        <x:v>205456</x:v>
      </x:c>
      <x:c r="E15" s="12" t="n">
        <x:v>4195</x:v>
      </x:c>
      <x:c r="F15" s="12" t="n">
        <x:v>34274169</x:v>
      </x:c>
      <x:c r="G15" t="str">
        <x:v>Midland</x:v>
      </x:c>
      <x:c r="H15" t="n">
        <x:v>2021</x:v>
      </x:c>
      <x:c r="I15" s="12" t="n">
        <x:v>12024265</x:v>
      </x:c>
      <x:c r="J15" s="14" t="n">
        <x:v>2.8514117638250025</x:v>
      </x:c>
      <x:c r="K15" s="14" t="n">
        <x:v>2.8504169693532204</x:v>
      </x:c>
    </x:row>
    <x:row r="16">
      <x:c r="A16" t="n">
        <x:v>44256</x:v>
      </x:c>
      <x:c r="B16" s="12" t="n">
        <x:v>17963436</x:v>
      </x:c>
      <x:c r="C16" s="12" t="n">
        <x:v>50396144</x:v>
      </x:c>
      <x:c r="D16" s="12" t="n">
        <x:v>307078</x:v>
      </x:c>
      <x:c r="E16" s="12" t="n">
        <x:v>5807</x:v>
      </x:c>
      <x:c r="F16" s="12" t="n">
        <x:v>50703222</x:v>
      </x:c>
      <x:c r="G16" t="str">
        <x:v>Midland</x:v>
      </x:c>
      <x:c r="H16" t="n">
        <x:v>2021</x:v>
      </x:c>
      <x:c r="I16" s="12" t="n">
        <x:v>17969243</x:v>
      </x:c>
      <x:c r="J16" s="14" t="n">
        <x:v>2.8225792660157</x:v>
      </x:c>
      <x:c r="K16" s="14" t="n">
        <x:v>2.821667111964594</x:v>
      </x:c>
    </x:row>
    <x:row r="17">
      <x:c r="A17" t="n">
        <x:v>44287</x:v>
      </x:c>
      <x:c r="B17" s="12" t="n">
        <x:v>16573858</x:v>
      </x:c>
      <x:c r="C17" s="12" t="n">
        <x:v>51328346</x:v>
      </x:c>
      <x:c r="D17" s="12" t="n">
        <x:v>303272</x:v>
      </x:c>
      <x:c r="E17" s="12" t="n">
        <x:v>6118</x:v>
      </x:c>
      <x:c r="F17" s="12" t="n">
        <x:v>51631618</x:v>
      </x:c>
      <x:c r="G17" t="str">
        <x:v>Midland</x:v>
      </x:c>
      <x:c r="H17" t="n">
        <x:v>2021</x:v>
      </x:c>
      <x:c r="I17" s="12" t="n">
        <x:v>16579976</x:v>
      </x:c>
      <x:c r="J17" s="14" t="n">
        <x:v>3.115244380638473</x:v>
      </x:c>
      <x:c r="K17" s="14" t="n">
        <x:v>3.1140948575558856</x:v>
      </x:c>
    </x:row>
    <x:row r="18">
      <x:c r="A18" t="n">
        <x:v>44317</x:v>
      </x:c>
      <x:c r="B18" s="12" t="n">
        <x:v>17014976</x:v>
      </x:c>
      <x:c r="C18" s="12" t="n">
        <x:v>54367558</x:v>
      </x:c>
      <x:c r="D18" s="12" t="n">
        <x:v>303031</x:v>
      </x:c>
      <x:c r="E18" s="12" t="n">
        <x:v>6653</x:v>
      </x:c>
      <x:c r="F18" s="12" t="n">
        <x:v>54670589</x:v>
      </x:c>
      <x:c r="G18" t="str">
        <x:v>Midland</x:v>
      </x:c>
      <x:c r="H18" t="n">
        <x:v>2021</x:v>
      </x:c>
      <x:c r="I18" s="12" t="n">
        <x:v>17021629</x:v>
      </x:c>
      <x:c r="J18" s="14" t="n">
        <x:v>3.2130864598339723</x:v>
      </x:c>
      <x:c r="K18" s="14" t="n">
        <x:v>3.2118306068120743</x:v>
      </x:c>
    </x:row>
    <x:row r="19">
      <x:c r="A19" t="n">
        <x:v>44348</x:v>
      </x:c>
      <x:c r="B19" s="12" t="n">
        <x:v>16103431</x:v>
      </x:c>
      <x:c r="C19" s="12" t="n">
        <x:v>52536831</x:v>
      </x:c>
      <x:c r="D19" s="12" t="n">
        <x:v>272736</x:v>
      </x:c>
      <x:c r="E19" s="12" t="n">
        <x:v>6097</x:v>
      </x:c>
      <x:c r="F19" s="12" t="n">
        <x:v>52809567</x:v>
      </x:c>
      <x:c r="G19" t="str">
        <x:v>Midland</x:v>
      </x:c>
      <x:c r="H19" t="n">
        <x:v>2021</x:v>
      </x:c>
      <x:c r="I19" s="12" t="n">
        <x:v>16109528</x:v>
      </x:c>
      <x:c r="J19" s="14" t="n">
        <x:v>3.2793984710463255</x:v>
      </x:c>
      <x:c r="K19" s="14" t="n">
        <x:v>3.278157311623283</x:v>
      </x:c>
    </x:row>
    <x:row r="20">
      <x:c r="A20" t="n">
        <x:v>44378</x:v>
      </x:c>
      <x:c r="B20" s="12" t="n">
        <x:v>16571998</x:v>
      </x:c>
      <x:c r="C20" s="12" t="n">
        <x:v>55581941</x:v>
      </x:c>
      <x:c r="D20" s="12" t="n">
        <x:v>299071</x:v>
      </x:c>
      <x:c r="E20" s="12" t="n">
        <x:v>6121</x:v>
      </x:c>
      <x:c r="F20" s="12" t="n">
        <x:v>55881012</x:v>
      </x:c>
      <x:c r="G20" t="str">
        <x:v>Midland</x:v>
      </x:c>
      <x:c r="H20" t="n">
        <x:v>2021</x:v>
      </x:c>
      <x:c r="I20" s="12" t="n">
        <x:v>16578119</x:v>
      </x:c>
      <x:c r="J20" s="14" t="n">
        <x:v>3.372014165099465</x:v>
      </x:c>
      <x:c r="K20" s="14" t="n">
        <x:v>3.370769144557353</x:v>
      </x:c>
    </x:row>
    <x:row r="21">
      <x:c r="A21" t="n">
        <x:v>44409</x:v>
      </x:c>
      <x:c r="B21" s="12" t="n">
        <x:v>16657446</x:v>
      </x:c>
      <x:c r="C21" s="12" t="n">
        <x:v>55471810</x:v>
      </x:c>
      <x:c r="D21" s="12" t="n">
        <x:v>292285</x:v>
      </x:c>
      <x:c r="E21" s="12" t="n">
        <x:v>6277</x:v>
      </x:c>
      <x:c r="F21" s="12" t="n">
        <x:v>55764095</x:v>
      </x:c>
      <x:c r="G21" t="str">
        <x:v>Midland</x:v>
      </x:c>
      <x:c r="H21" t="n">
        <x:v>2021</x:v>
      </x:c>
      <x:c r="I21" s="12" t="n">
        <x:v>16663723</x:v>
      </x:c>
      <x:c r="J21" s="14" t="n">
        <x:v>3.3476977803199843</x:v>
      </x:c>
      <x:c r="K21" s="14" t="n">
        <x:v>3.3464367476583714</x:v>
      </x:c>
    </x:row>
    <x:row r="22">
      <x:c r="A22" t="n">
        <x:v>44440</x:v>
      </x:c>
      <x:c r="B22" s="12" t="n">
        <x:v>15971241</x:v>
      </x:c>
      <x:c r="C22" s="12" t="n">
        <x:v>53620799</x:v>
      </x:c>
      <x:c r="D22" s="12" t="n">
        <x:v>284765</x:v>
      </x:c>
      <x:c r="E22" s="12" t="n">
        <x:v>4920</x:v>
      </x:c>
      <x:c r="F22" s="12" t="n">
        <x:v>53905564</x:v>
      </x:c>
      <x:c r="G22" t="str">
        <x:v>Midland</x:v>
      </x:c>
      <x:c r="H22" t="n">
        <x:v>2021</x:v>
      </x:c>
      <x:c r="I22" s="12" t="n">
        <x:v>15976161</x:v>
      </x:c>
      <x:c r="J22" s="14" t="n">
        <x:v>3.3751643970559333</x:v>
      </x:c>
      <x:c r="K22" s="14" t="n">
        <x:v>3.374124985345353</x:v>
      </x:c>
    </x:row>
    <x:row r="23">
      <x:c r="A23" t="n">
        <x:v>44470</x:v>
      </x:c>
      <x:c r="B23" s="12" t="n">
        <x:v>17525957</x:v>
      </x:c>
      <x:c r="C23" s="12" t="n">
        <x:v>55836228</x:v>
      </x:c>
      <x:c r="D23" s="12" t="n">
        <x:v>293483</x:v>
      </x:c>
      <x:c r="E23" s="12" t="n">
        <x:v>5575</x:v>
      </x:c>
      <x:c r="F23" s="12" t="n">
        <x:v>56129711</x:v>
      </x:c>
      <x:c r="G23" t="str">
        <x:v>Midland</x:v>
      </x:c>
      <x:c r="H23" t="n">
        <x:v>2021</x:v>
      </x:c>
      <x:c r="I23" s="12" t="n">
        <x:v>17531532</x:v>
      </x:c>
      <x:c r="J23" s="14" t="n">
        <x:v>3.2026616863204675</x:v>
      </x:c>
      <x:c r="K23" s="14" t="n">
        <x:v>3.2016432448687313</x:v>
      </x:c>
    </x:row>
    <x:row r="24">
      <x:c r="A24" t="n">
        <x:v>44501</x:v>
      </x:c>
      <x:c r="B24" s="12" t="n">
        <x:v>17718771</x:v>
      </x:c>
      <x:c r="C24" s="12" t="n">
        <x:v>55591702</x:v>
      </x:c>
      <x:c r="D24" s="12" t="n">
        <x:v>286335</x:v>
      </x:c>
      <x:c r="E24" s="12" t="n">
        <x:v>6320</x:v>
      </x:c>
      <x:c r="F24" s="12" t="n">
        <x:v>55878037</x:v>
      </x:c>
      <x:c r="G24" t="str">
        <x:v>Midland</x:v>
      </x:c>
      <x:c r="H24" t="n">
        <x:v>2021</x:v>
      </x:c>
      <x:c r="I24" s="12" t="n">
        <x:v>17725091</x:v>
      </x:c>
      <x:c r="J24" s="14" t="n">
        <x:v>3.153606816183809</x:v>
      </x:c>
      <x:c r="K24" s="14" t="n">
        <x:v>3.152482376536177</x:v>
      </x:c>
    </x:row>
    <x:row r="25">
      <x:c r="A25" t="n">
        <x:v>44531</x:v>
      </x:c>
      <x:c r="B25" s="12" t="n">
        <x:v>18634167</x:v>
      </x:c>
      <x:c r="C25" s="12" t="n">
        <x:v>58416941</x:v>
      </x:c>
      <x:c r="D25" s="12" t="n">
        <x:v>277909</x:v>
      </x:c>
      <x:c r="E25" s="12" t="n">
        <x:v>6290</x:v>
      </x:c>
      <x:c r="F25" s="12" t="n">
        <x:v>58694850</x:v>
      </x:c>
      <x:c r="G25" t="str">
        <x:v>Midland</x:v>
      </x:c>
      <x:c r="H25" t="n">
        <x:v>2021</x:v>
      </x:c>
      <x:c r="I25" s="12" t="n">
        <x:v>18640457</x:v>
      </x:c>
      <x:c r="J25" s="14" t="n">
        <x:v>3.1498510236599255</x:v>
      </x:c>
      <x:c r="K25" s="14" t="n">
        <x:v>3.148788143981663</x:v>
      </x:c>
    </x:row>
    <x:row r="26">
      <x:c r="A26" t="n">
        <x:v>44562</x:v>
      </x:c>
      <x:c r="B26" s="12" t="n">
        <x:v>17874265</x:v>
      </x:c>
      <x:c r="C26" s="12" t="n">
        <x:v>55908770</x:v>
      </x:c>
      <x:c r="D26" s="12" t="n">
        <x:v>297714</x:v>
      </x:c>
      <x:c r="E26" s="12" t="n">
        <x:v>6232</x:v>
      </x:c>
      <x:c r="F26" s="12" t="n">
        <x:v>56206484</x:v>
      </x:c>
      <x:c r="G26" t="str">
        <x:v>Midland</x:v>
      </x:c>
      <x:c r="H26" t="n">
        <x:v>2022</x:v>
      </x:c>
      <x:c r="I26" s="12" t="n">
        <x:v>17880497</x:v>
      </x:c>
      <x:c r="J26" s="14" t="n">
        <x:v>3.1445479856094782</x:v>
      </x:c>
      <x:c r="K26" s="14" t="n">
        <x:v>3.143451996888006</x:v>
      </x:c>
    </x:row>
    <x:row r="27">
      <x:c r="A27" t="n">
        <x:v>44593</x:v>
      </x:c>
      <x:c r="B27" s="12" t="n">
        <x:v>15566902</x:v>
      </x:c>
      <x:c r="C27" s="12" t="n">
        <x:v>48858891</x:v>
      </x:c>
      <x:c r="D27" s="12" t="n">
        <x:v>240974</x:v>
      </x:c>
      <x:c r="E27" s="12" t="n">
        <x:v>5279</x:v>
      </x:c>
      <x:c r="F27" s="12" t="n">
        <x:v>49099865</x:v>
      </x:c>
      <x:c r="G27" t="str">
        <x:v>Midland</x:v>
      </x:c>
      <x:c r="H27" t="n">
        <x:v>2022</x:v>
      </x:c>
      <x:c r="I27" s="12" t="n">
        <x:v>15572181</x:v>
      </x:c>
      <x:c r="J27" s="14" t="n">
        <x:v>3.154119233229579</x:v>
      </x:c>
      <x:c r="K27" s="14" t="n">
        <x:v>3.153049980603231</x:v>
      </x:c>
    </x:row>
    <x:row r="28">
      <x:c r="A28" t="n">
        <x:v>44621</x:v>
      </x:c>
      <x:c r="B28" s="12" t="n">
        <x:v>18348557</x:v>
      </x:c>
      <x:c r="C28" s="12" t="n">
        <x:v>58445699</x:v>
      </x:c>
      <x:c r="D28" s="12" t="n">
        <x:v>270509</x:v>
      </x:c>
      <x:c r="E28" s="12" t="n">
        <x:v>5729</x:v>
      </x:c>
      <x:c r="F28" s="12" t="n">
        <x:v>58716208</x:v>
      </x:c>
      <x:c r="G28" t="str">
        <x:v>Midland</x:v>
      </x:c>
      <x:c r="H28" t="n">
        <x:v>2022</x:v>
      </x:c>
      <x:c r="I28" s="12" t="n">
        <x:v>18354286</x:v>
      </x:c>
      <x:c r="J28" s="14" t="n">
        <x:v>3.2000449953639407</x:v>
      </x:c>
      <x:c r="K28" s="14" t="n">
        <x:v>3.19904615194511</x:v>
      </x:c>
    </x:row>
    <x:row r="29">
      <x:c r="A29" t="n">
        <x:v>44652</x:v>
      </x:c>
      <x:c r="B29" s="12" t="n">
        <x:v>17981225</x:v>
      </x:c>
      <x:c r="C29" s="12" t="n">
        <x:v>56822878</x:v>
      </x:c>
      <x:c r="D29" s="12" t="n">
        <x:v>263707</x:v>
      </x:c>
      <x:c r="E29" s="12" t="n">
        <x:v>6425</x:v>
      </x:c>
      <x:c r="F29" s="12" t="n">
        <x:v>57086585</x:v>
      </x:c>
      <x:c r="G29" t="str">
        <x:v>Midland</x:v>
      </x:c>
      <x:c r="H29" t="n">
        <x:v>2022</x:v>
      </x:c>
      <x:c r="I29" s="12" t="n">
        <x:v>17987650</x:v>
      </x:c>
      <x:c r="J29" s="14" t="n">
        <x:v>3.1747884251490097</x:v>
      </x:c>
      <x:c r="K29" s="14" t="n">
        <x:v>3.173654424007583</x:v>
      </x:c>
    </x:row>
    <x:row r="30">
      <x:c r="A30" t="n">
        <x:v>44682</x:v>
      </x:c>
      <x:c r="B30" s="12" t="n">
        <x:v>18267524</x:v>
      </x:c>
      <x:c r="C30" s="12" t="n">
        <x:v>58961332</x:v>
      </x:c>
      <x:c r="D30" s="12" t="n">
        <x:v>278714</x:v>
      </x:c>
      <x:c r="E30" s="12" t="n">
        <x:v>5344</x:v>
      </x:c>
      <x:c r="F30" s="12" t="n">
        <x:v>59240046</x:v>
      </x:c>
      <x:c r="G30" t="str">
        <x:v>Midland</x:v>
      </x:c>
      <x:c r="H30" t="n">
        <x:v>2022</x:v>
      </x:c>
      <x:c r="I30" s="12" t="n">
        <x:v>18272868</x:v>
      </x:c>
      <x:c r="J30" s="14" t="n">
        <x:v>3.24291600766475</x:v>
      </x:c>
      <x:c r="K30" s="14" t="n">
        <x:v>3.2419675991749077</x:v>
      </x:c>
    </x:row>
    <x:row r="31">
      <x:c r="A31" t="n">
        <x:v>44713</x:v>
      </x:c>
      <x:c r="B31" s="12" t="n">
        <x:v>18175991</x:v>
      </x:c>
      <x:c r="C31" s="12" t="n">
        <x:v>58198941</x:v>
      </x:c>
      <x:c r="D31" s="12" t="n">
        <x:v>245013</x:v>
      </x:c>
      <x:c r="E31" s="12" t="n">
        <x:v>4242</x:v>
      </x:c>
      <x:c r="F31" s="12" t="n">
        <x:v>58443954</x:v>
      </x:c>
      <x:c r="G31" t="str">
        <x:v>Midland</x:v>
      </x:c>
      <x:c r="H31" t="n">
        <x:v>2022</x:v>
      </x:c>
      <x:c r="I31" s="12" t="n">
        <x:v>18180233</x:v>
      </x:c>
      <x:c r="J31" s="14" t="n">
        <x:v>3.215448005008365</x:v>
      </x:c>
      <x:c r="K31" s="14" t="n">
        <x:v>3.2146977434227604</x:v>
      </x:c>
    </x:row>
    <x:row r="32">
      <x:c r="A32" t="n">
        <x:v>44743</x:v>
      </x:c>
      <x:c r="B32" s="12" t="n">
        <x:v>18710102</x:v>
      </x:c>
      <x:c r="C32" s="12" t="n">
        <x:v>61101484</x:v>
      </x:c>
      <x:c r="D32" s="12" t="n">
        <x:v>263543</x:v>
      </x:c>
      <x:c r="E32" s="12" t="n">
        <x:v>4654</x:v>
      </x:c>
      <x:c r="F32" s="12" t="n">
        <x:v>61365027</x:v>
      </x:c>
      <x:c r="G32" t="str">
        <x:v>Midland</x:v>
      </x:c>
      <x:c r="H32" t="n">
        <x:v>2022</x:v>
      </x:c>
      <x:c r="I32" s="12" t="n">
        <x:v>18714756</x:v>
      </x:c>
      <x:c r="J32" s="14" t="n">
        <x:v>3.2797804629819765</x:v>
      </x:c>
      <x:c r="K32" s="14" t="n">
        <x:v>3.2789648446391713</x:v>
      </x:c>
    </x:row>
    <x:row r="33">
      <x:c r="A33" t="n">
        <x:v>44774</x:v>
      </x:c>
      <x:c r="B33" s="12" t="n">
        <x:v>19224427</x:v>
      </x:c>
      <x:c r="C33" s="12" t="n">
        <x:v>62801081</x:v>
      </x:c>
      <x:c r="D33" s="12" t="n">
        <x:v>273784</x:v>
      </x:c>
      <x:c r="E33" s="12" t="n">
        <x:v>5739</x:v>
      </x:c>
      <x:c r="F33" s="12" t="n">
        <x:v>63074865</x:v>
      </x:c>
      <x:c r="G33" t="str">
        <x:v>Midland</x:v>
      </x:c>
      <x:c r="H33" t="n">
        <x:v>2022</x:v>
      </x:c>
      <x:c r="I33" s="12" t="n">
        <x:v>19230166</x:v>
      </x:c>
      <x:c r="J33" s="14" t="n">
        <x:v>3.280975032441799</x:v>
      </x:c>
      <x:c r="K33" s="14" t="n">
        <x:v>3.2799958669103533</x:v>
      </x:c>
    </x:row>
    <x:row r="34">
      <x:c r="A34" t="n">
        <x:v>44805</x:v>
      </x:c>
      <x:c r="B34" s="12" t="n">
        <x:v>18776788</x:v>
      </x:c>
      <x:c r="C34" s="12" t="n">
        <x:v>62180516</x:v>
      </x:c>
      <x:c r="D34" s="12" t="n">
        <x:v>258747</x:v>
      </x:c>
      <x:c r="E34" s="12" t="n">
        <x:v>4839</x:v>
      </x:c>
      <x:c r="F34" s="12" t="n">
        <x:v>62439263</x:v>
      </x:c>
      <x:c r="G34" t="str">
        <x:v>Midland</x:v>
      </x:c>
      <x:c r="H34" t="n">
        <x:v>2022</x:v>
      </x:c>
      <x:c r="I34" s="12" t="n">
        <x:v>18781627</x:v>
      </x:c>
      <x:c r="J34" s="14" t="n">
        <x:v>3.325343131104212</x:v>
      </x:c>
      <x:c r="K34" s="14" t="n">
        <x:v>3.32448637170784</x:v>
      </x:c>
    </x:row>
    <x:row r="35">
      <x:c r="A35" t="n">
        <x:v>44835</x:v>
      </x:c>
      <x:c r="B35" s="12" t="n">
        <x:v>20193868</x:v>
      </x:c>
      <x:c r="C35" s="12" t="n">
        <x:v>66004326</x:v>
      </x:c>
      <x:c r="D35" s="12" t="n">
        <x:v>241653</x:v>
      </x:c>
      <x:c r="E35" s="12" t="n">
        <x:v>4635</x:v>
      </x:c>
      <x:c r="F35" s="12" t="n">
        <x:v>66245979</x:v>
      </x:c>
      <x:c r="G35" t="str">
        <x:v>Midland</x:v>
      </x:c>
      <x:c r="H35" t="n">
        <x:v>2022</x:v>
      </x:c>
      <x:c r="I35" s="12" t="n">
        <x:v>20198503</x:v>
      </x:c>
      <x:c r="J35" s="14" t="n">
        <x:v>3.2804997536876046</x:v>
      </x:c>
      <x:c r="K35" s="14" t="n">
        <x:v>3.2797469693669874</x:v>
      </x:c>
    </x:row>
    <x:row r="36">
      <x:c r="A36" t="n">
        <x:v>44866</x:v>
      </x:c>
      <x:c r="B36" s="12" t="n">
        <x:v>19516249</x:v>
      </x:c>
      <x:c r="C36" s="12" t="n">
        <x:v>63814421</x:v>
      </x:c>
      <x:c r="D36" s="12" t="n">
        <x:v>226332</x:v>
      </x:c>
      <x:c r="E36" s="12" t="n">
        <x:v>4974</x:v>
      </x:c>
      <x:c r="F36" s="12" t="n">
        <x:v>64040753</x:v>
      </x:c>
      <x:c r="G36" t="str">
        <x:v>Midland</x:v>
      </x:c>
      <x:c r="H36" t="n">
        <x:v>2022</x:v>
      </x:c>
      <x:c r="I36" s="12" t="n">
        <x:v>19521223</x:v>
      </x:c>
      <x:c r="J36" s="14" t="n">
        <x:v>3.2814068420627347</x:v>
      </x:c>
      <x:c r="K36" s="14" t="n">
        <x:v>3.280570740880323</x:v>
      </x:c>
    </x:row>
    <x:row r="37">
      <x:c r="A37" t="n">
        <x:v>44896</x:v>
      </x:c>
      <x:c r="B37" s="12" t="n">
        <x:v>19042183</x:v>
      </x:c>
      <x:c r="C37" s="12" t="n">
        <x:v>63830997</x:v>
      </x:c>
      <x:c r="D37" s="12" t="n">
        <x:v>223919</x:v>
      </x:c>
      <x:c r="E37" s="12" t="n">
        <x:v>5167</x:v>
      </x:c>
      <x:c r="F37" s="12" t="n">
        <x:v>64054916</x:v>
      </x:c>
      <x:c r="G37" t="str">
        <x:v>Midland</x:v>
      </x:c>
      <x:c r="H37" t="n">
        <x:v>2022</x:v>
      </x:c>
      <x:c r="I37" s="12" t="n">
        <x:v>19047350</x:v>
      </x:c>
      <x:c r="J37" s="14" t="n">
        <x:v>3.363843105593513</x:v>
      </x:c>
      <x:c r="K37" s="14" t="n">
        <x:v>3.3629305913946035</x:v>
      </x:c>
    </x:row>
    <x:row r="38">
      <x:c r="A38" t="n">
        <x:v>44927</x:v>
      </x:c>
      <x:c r="B38" s="12" t="n">
        <x:v>18970868</x:v>
      </x:c>
      <x:c r="C38" s="12" t="n">
        <x:v>64308792</x:v>
      </x:c>
      <x:c r="D38" s="12" t="n">
        <x:v>203507</x:v>
      </x:c>
      <x:c r="E38" s="12" t="n">
        <x:v>4943</x:v>
      </x:c>
      <x:c r="F38" s="12" t="n">
        <x:v>64512299</x:v>
      </x:c>
      <x:c r="G38" t="str">
        <x:v>Midland</x:v>
      </x:c>
      <x:c r="H38" t="n">
        <x:v>2023</x:v>
      </x:c>
      <x:c r="I38" s="12" t="n">
        <x:v>18975811</x:v>
      </x:c>
      <x:c r="J38" s="14" t="n">
        <x:v>3.4005981697832697</x:v>
      </x:c>
      <x:c r="K38" s="14" t="n">
        <x:v>3.39971234958021</x:v>
      </x:c>
    </x:row>
    <x:row r="39">
      <x:c r="A39" t="n">
        <x:v>44958</x:v>
      </x:c>
      <x:c r="B39" s="12" t="n">
        <x:v>17239767</x:v>
      </x:c>
      <x:c r="C39" s="12" t="n">
        <x:v>58402371</x:v>
      </x:c>
      <x:c r="D39" s="12" t="n">
        <x:v>187385</x:v>
      </x:c>
      <x:c r="E39" s="12" t="n">
        <x:v>3892</x:v>
      </x:c>
      <x:c r="F39" s="12" t="n">
        <x:v>58589756</x:v>
      </x:c>
      <x:c r="G39" t="str">
        <x:v>Midland</x:v>
      </x:c>
      <x:c r="H39" t="n">
        <x:v>2023</x:v>
      </x:c>
      <x:c r="I39" s="12" t="n">
        <x:v>17243659</x:v>
      </x:c>
      <x:c r="J39" s="14" t="n">
        <x:v>3.398523657541311</x:v>
      </x:c>
      <x:c r="K39" s="14" t="n">
        <x:v>3.39775658982818</x:v>
      </x:c>
    </x:row>
    <x:row r="40">
      <x:c r="A40" t="n">
        <x:v>44986</x:v>
      </x:c>
      <x:c r="B40" s="12" t="n">
        <x:v>19545034</x:v>
      </x:c>
      <x:c r="C40" s="12" t="n">
        <x:v>67498440</x:v>
      </x:c>
      <x:c r="D40" s="12" t="n">
        <x:v>244432</x:v>
      </x:c>
      <x:c r="E40" s="12" t="n">
        <x:v>4678</x:v>
      </x:c>
      <x:c r="F40" s="12" t="n">
        <x:v>67742872</x:v>
      </x:c>
      <x:c r="G40" t="str">
        <x:v>Midland</x:v>
      </x:c>
      <x:c r="H40" t="n">
        <x:v>2023</x:v>
      </x:c>
      <x:c r="I40" s="12" t="n">
        <x:v>19549712</x:v>
      </x:c>
      <x:c r="J40" s="14" t="n">
        <x:v>3.465988956580991</x:v>
      </x:c>
      <x:c r="K40" s="14" t="n">
        <x:v>3.465159589051747</x:v>
      </x:c>
    </x:row>
    <x:row r="41">
      <x:c r="A41" t="n">
        <x:v>45017</x:v>
      </x:c>
      <x:c r="B41" s="12" t="n">
        <x:v>19170247</x:v>
      </x:c>
      <x:c r="C41" s="12" t="n">
        <x:v>66727883</x:v>
      </x:c>
      <x:c r="D41" s="12" t="n">
        <x:v>241859</x:v>
      </x:c>
      <x:c r="E41" s="12" t="n">
        <x:v>5222</x:v>
      </x:c>
      <x:c r="F41" s="12" t="n">
        <x:v>66969742</x:v>
      </x:c>
      <x:c r="G41" t="str">
        <x:v>Midland</x:v>
      </x:c>
      <x:c r="H41" t="n">
        <x:v>2023</x:v>
      </x:c>
      <x:c r="I41" s="12" t="n">
        <x:v>19175469</x:v>
      </x:c>
      <x:c r="J41" s="14" t="n">
        <x:v>3.493420924623454</x:v>
      </x:c>
      <x:c r="K41" s="14" t="n">
        <x:v>3.492469571409179</x:v>
      </x:c>
    </x:row>
    <x:row r="42">
      <x:c r="A42" t="n">
        <x:v>45047</x:v>
      </x:c>
      <x:c r="B42" s="12" t="n">
        <x:v>20270076</x:v>
      </x:c>
      <x:c r="C42" s="12" t="n">
        <x:v>70481846</x:v>
      </x:c>
      <x:c r="D42" s="12" t="n">
        <x:v>254774</x:v>
      </x:c>
      <x:c r="E42" s="12" t="n">
        <x:v>4956</x:v>
      </x:c>
      <x:c r="F42" s="12" t="n">
        <x:v>70736620</x:v>
      </x:c>
      <x:c r="G42" t="str">
        <x:v>Midland</x:v>
      </x:c>
      <x:c r="H42" t="n">
        <x:v>2023</x:v>
      </x:c>
      <x:c r="I42" s="12" t="n">
        <x:v>20275032</x:v>
      </x:c>
      <x:c r="J42" s="14" t="n">
        <x:v>3.4897066986823333</x:v>
      </x:c>
      <x:c r="K42" s="14" t="n">
        <x:v>3.4888536797377188</x:v>
      </x:c>
    </x:row>
    <x:row r="43">
      <x:c r="A43" t="n">
        <x:v>45078</x:v>
      </x:c>
      <x:c r="B43" s="12" t="n">
        <x:v>19924223</x:v>
      </x:c>
      <x:c r="C43" s="12" t="n">
        <x:v>68258240</x:v>
      </x:c>
      <x:c r="D43" s="12" t="n">
        <x:v>243081</x:v>
      </x:c>
      <x:c r="E43" s="12" t="n">
        <x:v>4321</x:v>
      </x:c>
      <x:c r="F43" s="12" t="n">
        <x:v>68501321</x:v>
      </x:c>
      <x:c r="G43" t="str">
        <x:v>Midland</x:v>
      </x:c>
      <x:c r="H43" t="n">
        <x:v>2023</x:v>
      </x:c>
      <x:c r="I43" s="12" t="n">
        <x:v>19928544</x:v>
      </x:c>
      <x:c r="J43" s="14" t="n">
        <x:v>3.4380924666422374</x:v>
      </x:c>
      <x:c r="K43" s="14" t="n">
        <x:v>3.4373470033736533</x:v>
      </x:c>
    </x:row>
    <x:row r="44">
      <x:c r="A44" t="n">
        <x:v>45108</x:v>
      </x:c>
      <x:c r="B44" s="12" t="n">
        <x:v>21304745</x:v>
      </x:c>
      <x:c r="C44" s="12" t="n">
        <x:v>72007195</x:v>
      </x:c>
      <x:c r="D44" s="12" t="n">
        <x:v>277641</x:v>
      </x:c>
      <x:c r="E44" s="12" t="n">
        <x:v>5231</x:v>
      </x:c>
      <x:c r="F44" s="12" t="n">
        <x:v>72284836</x:v>
      </x:c>
      <x:c r="G44" t="str">
        <x:v>Midland</x:v>
      </x:c>
      <x:c r="H44" t="n">
        <x:v>2023</x:v>
      </x:c>
      <x:c r="I44" s="12" t="n">
        <x:v>21309976</x:v>
      </x:c>
      <x:c r="J44" s="14" t="n">
        <x:v>3.392898436475067</x:v>
      </x:c>
      <x:c r="K44" s="14" t="n">
        <x:v>3.392065575296753</x:v>
      </x:c>
    </x:row>
    <x:row r="45">
      <x:c r="A45" t="n">
        <x:v>45139</x:v>
      </x:c>
      <x:c r="B45" s="12" t="n">
        <x:v>20376909</x:v>
      </x:c>
      <x:c r="C45" s="12" t="n">
        <x:v>72844755</x:v>
      </x:c>
      <x:c r="D45" s="12" t="n">
        <x:v>249406</x:v>
      </x:c>
      <x:c r="E45" s="12" t="n">
        <x:v>4744</x:v>
      </x:c>
      <x:c r="F45" s="12" t="n">
        <x:v>73094161</x:v>
      </x:c>
      <x:c r="G45" t="str">
        <x:v>Midland</x:v>
      </x:c>
      <x:c r="H45" t="n">
        <x:v>2023</x:v>
      </x:c>
      <x:c r="I45" s="12" t="n">
        <x:v>20381653</x:v>
      </x:c>
      <x:c r="J45" s="14" t="n">
        <x:v>3.58710739690696</x:v>
      </x:c>
      <x:c r="K45" s="14" t="n">
        <x:v>3.5862724676943523</x:v>
      </x:c>
    </x:row>
    <x:row r="46">
      <x:c r="A46" t="n">
        <x:v>45170</x:v>
      </x:c>
      <x:c r="B46" s="12" t="n">
        <x:v>18210223</x:v>
      </x:c>
      <x:c r="C46" s="12" t="n">
        <x:v>68983836</x:v>
      </x:c>
      <x:c r="D46" s="12" t="n">
        <x:v>267487</x:v>
      </x:c>
      <x:c r="E46" s="12" t="n">
        <x:v>5498</x:v>
      </x:c>
      <x:c r="F46" s="12" t="n">
        <x:v>69251323</x:v>
      </x:c>
      <x:c r="G46" t="str">
        <x:v>Midland</x:v>
      </x:c>
      <x:c r="H46" t="n">
        <x:v>2023</x:v>
      </x:c>
      <x:c r="I46" s="12" t="n">
        <x:v>18215721</x:v>
      </x:c>
      <x:c r="J46" s="14" t="n">
        <x:v>3.802881656089549</x:v>
      </x:c>
      <x:c r="K46" s="14" t="n">
        <x:v>3.801733842981016</x:v>
      </x:c>
    </x:row>
    <x:row r="47">
      <x:c r="A47" t="n">
        <x:v>45200</x:v>
      </x:c>
      <x:c r="B47" s="12" t="n">
        <x:v>19608647</x:v>
      </x:c>
      <x:c r="C47" s="12" t="n">
        <x:v>71648302</x:v>
      </x:c>
      <x:c r="D47" s="12" t="n">
        <x:v>271652</x:v>
      </x:c>
      <x:c r="E47" s="12" t="n">
        <x:v>5654</x:v>
      </x:c>
      <x:c r="F47" s="12" t="n">
        <x:v>71919954</x:v>
      </x:c>
      <x:c r="G47" t="str">
        <x:v>Midland</x:v>
      </x:c>
      <x:c r="H47" t="n">
        <x:v>2023</x:v>
      </x:c>
      <x:c r="I47" s="12" t="n">
        <x:v>19614301</x:v>
      </x:c>
      <x:c r="J47" s="14" t="n">
        <x:v>3.6677672865445534</x:v>
      </x:c>
      <x:c r="K47" s="14" t="n">
        <x:v>3.6667100193884044</x:v>
      </x:c>
    </x:row>
    <x:row r="48">
      <x:c r="A48" t="n">
        <x:v>45231</x:v>
      </x:c>
      <x:c r="B48" s="12" t="n">
        <x:v>19493072</x:v>
      </x:c>
      <x:c r="C48" s="12" t="n">
        <x:v>70939200</x:v>
      </x:c>
      <x:c r="D48" s="12" t="n">
        <x:v>213100</x:v>
      </x:c>
      <x:c r="E48" s="12" t="n">
        <x:v>5126</x:v>
      </x:c>
      <x:c r="F48" s="12" t="n">
        <x:v>71152300</x:v>
      </x:c>
      <x:c r="G48" t="str">
        <x:v>Midland</x:v>
      </x:c>
      <x:c r="H48" t="n">
        <x:v>2023</x:v>
      </x:c>
      <x:c r="I48" s="12" t="n">
        <x:v>19498198</x:v>
      </x:c>
      <x:c r="J48" s="14" t="n">
        <x:v>3.6501327240775594</x:v>
      </x:c>
      <x:c r="K48" s="14" t="n">
        <x:v>3.64917311845946</x:v>
      </x:c>
    </x:row>
    <x:row r="49">
      <x:c r="A49" t="n">
        <x:v>45261</x:v>
      </x:c>
      <x:c r="B49" s="12" t="n">
        <x:v>20404300</x:v>
      </x:c>
      <x:c r="C49" s="12" t="n">
        <x:v>74120352</x:v>
      </x:c>
      <x:c r="D49" s="12" t="n">
        <x:v>205060</x:v>
      </x:c>
      <x:c r="E49" s="12" t="n">
        <x:v>4954</x:v>
      </x:c>
      <x:c r="F49" s="12" t="n">
        <x:v>74325412</x:v>
      </x:c>
      <x:c r="G49" t="str">
        <x:v>Midland</x:v>
      </x:c>
      <x:c r="H49" t="n">
        <x:v>2023</x:v>
      </x:c>
      <x:c r="I49" s="12" t="n">
        <x:v>20409254</x:v>
      </x:c>
      <x:c r="J49" s="14" t="n">
        <x:v>3.6426347387560467</x:v>
      </x:c>
      <x:c r="K49" s="14" t="n">
        <x:v>3.6417505510000514</x:v>
      </x:c>
    </x:row>
    <x:row r="50">
      <x:c r="A50" t="n">
        <x:v>45292</x:v>
      </x:c>
      <x:c r="B50" s="12" t="n">
        <x:v>19080048</x:v>
      </x:c>
      <x:c r="C50" s="12" t="n">
        <x:v>70120042</x:v>
      </x:c>
      <x:c r="D50" s="12" t="n">
        <x:v>209527</x:v>
      </x:c>
      <x:c r="E50" s="12" t="n">
        <x:v>5619</x:v>
      </x:c>
      <x:c r="F50" s="12" t="n">
        <x:v>70329569</x:v>
      </x:c>
      <x:c r="G50" t="str">
        <x:v>Midland</x:v>
      </x:c>
      <x:c r="H50" t="n">
        <x:v>2024</x:v>
      </x:c>
      <x:c r="I50" s="12" t="n">
        <x:v>19085667</x:v>
      </x:c>
      <x:c r="J50" s="14" t="n">
        <x:v>3.686026838087619</x:v>
      </x:c>
      <x:c r="K50" s="14" t="n">
        <x:v>3.684941637093427</x:v>
      </x:c>
    </x:row>
    <x:row r="51">
      <x:c r="A51" t="n">
        <x:v>45323</x:v>
      </x:c>
      <x:c r="B51" s="12" t="n">
        <x:v>18376058</x:v>
      </x:c>
      <x:c r="C51" s="12" t="n">
        <x:v>68815516</x:v>
      </x:c>
      <x:c r="D51" s="12" t="n">
        <x:v>210857</x:v>
      </x:c>
      <x:c r="E51" s="12" t="n">
        <x:v>4694</x:v>
      </x:c>
      <x:c r="F51" s="12" t="n">
        <x:v>69026373</x:v>
      </x:c>
      <x:c r="G51" t="str">
        <x:v>Midland</x:v>
      </x:c>
      <x:c r="H51" t="n">
        <x:v>2024</x:v>
      </x:c>
      <x:c r="I51" s="12" t="n">
        <x:v>18380752</x:v>
      </x:c>
      <x:c r="J51" s="14" t="n">
        <x:v>3.7563210238017315</x:v>
      </x:c>
      <x:c r="K51" s="14" t="n">
        <x:v>3.7553617501612555</x:v>
      </x:c>
    </x:row>
    <x:row r="52">
      <x:c r="A52" t="n">
        <x:v>45352</x:v>
      </x:c>
      <x:c r="B52" s="12" t="n">
        <x:v>19523234</x:v>
      </x:c>
      <x:c r="C52" s="12" t="n">
        <x:v>75092836</x:v>
      </x:c>
      <x:c r="D52" s="12" t="n">
        <x:v>228868</x:v>
      </x:c>
      <x:c r="E52" s="12" t="n">
        <x:v>4454</x:v>
      </x:c>
      <x:c r="F52" s="12" t="n">
        <x:v>75321704</x:v>
      </x:c>
      <x:c r="G52" t="str">
        <x:v>Midland</x:v>
      </x:c>
      <x:c r="H52" t="n">
        <x:v>2024</x:v>
      </x:c>
      <x:c r="I52" s="12" t="n">
        <x:v>19527688</x:v>
      </x:c>
      <x:c r="J52" s="14" t="n">
        <x:v>3.858054664508964</x:v>
      </x:c>
      <x:c r="K52" s="14" t="n">
        <x:v>3.8571746947206447</x:v>
      </x:c>
    </x:row>
    <x:row r="53">
      <x:c r="A53" t="n">
        <x:v>45383</x:v>
      </x:c>
      <x:c r="B53" s="12" t="n">
        <x:v>18718151</x:v>
      </x:c>
      <x:c r="C53" s="12" t="n">
        <x:v>73131634</x:v>
      </x:c>
      <x:c r="D53" s="12" t="n">
        <x:v>218101</x:v>
      </x:c>
      <x:c r="E53" s="12" t="n">
        <x:v>3854</x:v>
      </x:c>
      <x:c r="F53" s="12" t="n">
        <x:v>73349735</x:v>
      </x:c>
      <x:c r="G53" t="str">
        <x:v>Midland</x:v>
      </x:c>
      <x:c r="H53" t="n">
        <x:v>2024</x:v>
      </x:c>
      <x:c r="I53" s="12" t="n">
        <x:v>18722005</x:v>
      </x:c>
      <x:c r="J53" s="14" t="n">
        <x:v>3.918642124427781</x:v>
      </x:c>
      <x:c r="K53" s="14" t="n">
        <x:v>3.9178354561917916</x:v>
      </x:c>
    </x:row>
    <x:row r="54">
      <x:c r="A54" t="n">
        <x:v>45413</x:v>
      </x:c>
      <x:c r="B54" s="12" t="n">
        <x:v>18754389</x:v>
      </x:c>
      <x:c r="C54" s="12" t="n">
        <x:v>74156061</x:v>
      </x:c>
      <x:c r="D54" s="12" t="n">
        <x:v>225151</x:v>
      </x:c>
      <x:c r="E54" s="12" t="n">
        <x:v>4612</x:v>
      </x:c>
      <x:c r="F54" s="12" t="n">
        <x:v>74381212</x:v>
      </x:c>
      <x:c r="G54" t="str">
        <x:v>Midland</x:v>
      </x:c>
      <x:c r="H54" t="n">
        <x:v>2024</x:v>
      </x:c>
      <x:c r="I54" s="12" t="n">
        <x:v>18759001</x:v>
      </x:c>
      <x:c r="J54" s="14" t="n">
        <x:v>3.9660695957623573</x:v>
      </x:c>
      <x:c r="K54" s="14" t="n">
        <x:v>3.965094516493709</x:v>
      </x:c>
    </x:row>
    <x:row r="55">
      <x:c r="A55" t="n">
        <x:v>45444</x:v>
      </x:c>
      <x:c r="B55" s="12" t="n">
        <x:v>19084615</x:v>
      </x:c>
      <x:c r="C55" s="12" t="n">
        <x:v>74129085</x:v>
      </x:c>
      <x:c r="D55" s="12" t="n">
        <x:v>190933</x:v>
      </x:c>
      <x:c r="E55" s="12" t="n">
        <x:v>3516</x:v>
      </x:c>
      <x:c r="F55" s="12" t="n">
        <x:v>74320018</x:v>
      </x:c>
      <x:c r="G55" t="str">
        <x:v>Midland</x:v>
      </x:c>
      <x:c r="H55" t="n">
        <x:v>2024</x:v>
      </x:c>
      <x:c r="I55" s="12" t="n">
        <x:v>19088131</x:v>
      </x:c>
      <x:c r="J55" s="14" t="n">
        <x:v>3.894237216731907</x:v>
      </x:c>
      <x:c r="K55" s="14" t="n">
        <x:v>3.8935199051180023</x:v>
      </x:c>
    </x:row>
    <x:row r="56">
      <x:c r="A56" t="n">
        <x:v>45474</x:v>
      </x:c>
      <x:c r="B56" s="12" t="n">
        <x:v>19742451</x:v>
      </x:c>
      <x:c r="C56" s="12" t="n">
        <x:v>77870894</x:v>
      </x:c>
      <x:c r="D56" s="12" t="n">
        <x:v>171202</x:v>
      </x:c>
      <x:c r="E56" s="12" t="n">
        <x:v>2872</x:v>
      </x:c>
      <x:c r="F56" s="12" t="n">
        <x:v>78042096</x:v>
      </x:c>
      <x:c r="G56" t="str">
        <x:v>Midland</x:v>
      </x:c>
      <x:c r="H56" t="n">
        <x:v>2024</x:v>
      </x:c>
      <x:c r="I56" s="12" t="n">
        <x:v>19745323</x:v>
      </x:c>
      <x:c r="J56" s="14" t="n">
        <x:v>3.9530094819533805</x:v>
      </x:c>
      <x:c r="K56" s="14" t="n">
        <x:v>3.9524345081617556</x:v>
      </x:c>
    </x:row>
    <x:row r="57">
      <x:c r="A57" t="n">
        <x:v>45505</x:v>
      </x:c>
      <x:c r="B57" s="12" t="n">
        <x:v>19857608</x:v>
      </x:c>
      <x:c r="C57" s="12" t="n">
        <x:v>79309552</x:v>
      </x:c>
      <x:c r="D57" s="12" t="n">
        <x:v>221027</x:v>
      </x:c>
      <x:c r="E57" s="12" t="n">
        <x:v>4571</x:v>
      </x:c>
      <x:c r="F57" s="12" t="n">
        <x:v>79530579</x:v>
      </x:c>
      <x:c r="G57" t="str">
        <x:v>Midland</x:v>
      </x:c>
      <x:c r="H57" t="n">
        <x:v>2024</x:v>
      </x:c>
      <x:c r="I57" s="12" t="n">
        <x:v>19862179</x:v>
      </x:c>
      <x:c r="J57" s="14" t="n">
        <x:v>4.00504325596517</x:v>
      </x:c>
      <x:c r="K57" s="14" t="n">
        <x:v>4.004121551819667</x:v>
      </x:c>
    </x:row>
    <x:row r="58">
      <x:c r="A58" t="n">
        <x:v>45536</x:v>
      </x:c>
      <x:c r="B58" s="12" t="n">
        <x:v>19219785</x:v>
      </x:c>
      <x:c r="C58" s="12" t="n">
        <x:v>77575372</x:v>
      </x:c>
      <x:c r="D58" s="12" t="n">
        <x:v>183537</x:v>
      </x:c>
      <x:c r="E58" s="12" t="n">
        <x:v>3786</x:v>
      </x:c>
      <x:c r="F58" s="12" t="n">
        <x:v>77758909</x:v>
      </x:c>
      <x:c r="G58" t="str">
        <x:v>Midland</x:v>
      </x:c>
      <x:c r="H58" t="n">
        <x:v>2024</x:v>
      </x:c>
      <x:c r="I58" s="12" t="n">
        <x:v>19223571</x:v>
      </x:c>
      <x:c r="J58" s="14" t="n">
        <x:v>4.045774133269441</x:v>
      </x:c>
      <x:c r="K58" s="14" t="n">
        <x:v>4.04497733537645</x:v>
      </x:c>
    </x:row>
    <x:row r="59">
      <x:c r="A59" t="n">
        <x:v>45566</x:v>
      </x:c>
      <x:c r="B59" s="12" t="n">
        <x:v>21060449</x:v>
      </x:c>
      <x:c r="C59" s="12" t="n">
        <x:v>81754558</x:v>
      </x:c>
      <x:c r="D59" s="12" t="n">
        <x:v>212378</x:v>
      </x:c>
      <x:c r="E59" s="12" t="n">
        <x:v>4654</x:v>
      </x:c>
      <x:c r="F59" s="12" t="n">
        <x:v>81966936</x:v>
      </x:c>
      <x:c r="G59" t="str">
        <x:v>Midland</x:v>
      </x:c>
      <x:c r="H59" t="n">
        <x:v>2024</x:v>
      </x:c>
      <x:c r="I59" s="12" t="n">
        <x:v>21065103</x:v>
      </x:c>
      <x:c r="J59" s="14" t="n">
        <x:v>3.8919842592149863</x:v>
      </x:c>
      <x:c r="K59" s="14" t="n">
        <x:v>3.891124387096517</x:v>
      </x:c>
    </x:row>
    <x:row r="60">
      <x:c r="A60" t="n">
        <x:v>45597</x:v>
      </x:c>
      <x:c r="B60" s="12" t="n">
        <x:v>20512265</x:v>
      </x:c>
      <x:c r="C60" s="12" t="n">
        <x:v>79102023</x:v>
      </x:c>
      <x:c r="D60" s="12" t="n">
        <x:v>183652</x:v>
      </x:c>
      <x:c r="E60" s="12" t="n">
        <x:v>4069</x:v>
      </x:c>
      <x:c r="F60" s="12" t="n">
        <x:v>79285675</x:v>
      </x:c>
      <x:c r="G60" t="str">
        <x:v>Midland</x:v>
      </x:c>
      <x:c r="H60" t="n">
        <x:v>2024</x:v>
      </x:c>
      <x:c r="I60" s="12" t="n">
        <x:v>20516334</x:v>
      </x:c>
      <x:c r="J60" s="14" t="n">
        <x:v>3.865281332900097</x:v>
      </x:c>
      <x:c r="K60" s="14" t="n">
        <x:v>3.8645147325053295</x:v>
      </x:c>
    </x:row>
    <x:row r="61">
      <x:c r="A61" t="n">
        <x:v>45627</x:v>
      </x:c>
      <x:c r="B61" s="12" t="n">
        <x:v>20833214</x:v>
      </x:c>
      <x:c r="C61" s="12" t="n">
        <x:v>81775555</x:v>
      </x:c>
      <x:c r="D61" s="12" t="n">
        <x:v>185890</x:v>
      </x:c>
      <x:c r="E61" s="12" t="n">
        <x:v>4100</x:v>
      </x:c>
      <x:c r="F61" s="12" t="n">
        <x:v>81961445</x:v>
      </x:c>
      <x:c r="G61" t="str">
        <x:v>Midland</x:v>
      </x:c>
      <x:c r="H61" t="n">
        <x:v>2024</x:v>
      </x:c>
      <x:c r="I61" s="12" t="n">
        <x:v>20837314</x:v>
      </x:c>
      <x:c r="J61" s="14" t="n">
        <x:v>3.9341718949366142</x:v>
      </x:c>
      <x:c r="K61" s="14" t="n">
        <x:v>3.9333977978159758</x:v>
      </x:c>
    </x:row>
    <x:row r="62">
      <x:c r="A62" t="n">
        <x:v>45658</x:v>
      </x:c>
      <x:c r="B62" s="12" t="n">
        <x:v>21033946</x:v>
      </x:c>
      <x:c r="C62" s="12" t="n">
        <x:v>80481625</x:v>
      </x:c>
      <x:c r="D62" s="12" t="n">
        <x:v>197220</x:v>
      </x:c>
      <x:c r="E62" s="12" t="n">
        <x:v>4462</x:v>
      </x:c>
      <x:c r="F62" s="12" t="n">
        <x:v>80678845</x:v>
      </x:c>
      <x:c r="G62" t="str">
        <x:v>Midland</x:v>
      </x:c>
      <x:c r="H62" t="n">
        <x:v>2025</x:v>
      </x:c>
      <x:c r="I62" s="12" t="n">
        <x:v>21038408</x:v>
      </x:c>
      <x:c r="J62" s="14" t="n">
        <x:v>3.835649525771341</x:v>
      </x:c>
      <x:c r="K62" s="14" t="n">
        <x:v>3.8348360294181956</x:v>
      </x:c>
    </x:row>
    <x:row r="63">
      <x:c r="A63" t="n">
        <x:v>45689</x:v>
      </x:c>
      <x:c r="B63" s="12" t="n">
        <x:v>18792688</x:v>
      </x:c>
      <x:c r="C63" s="12" t="n">
        <x:v>72018103</x:v>
      </x:c>
      <x:c r="D63" s="12" t="n">
        <x:v>169250</x:v>
      </x:c>
      <x:c r="E63" s="12" t="n">
        <x:v>3342</x:v>
      </x:c>
      <x:c r="F63" s="12" t="n">
        <x:v>72187353</x:v>
      </x:c>
      <x:c r="G63" t="str">
        <x:v>Midland</x:v>
      </x:c>
      <x:c r="H63" t="n">
        <x:v>2025</x:v>
      </x:c>
      <x:c r="I63" s="12" t="n">
        <x:v>18796030</x:v>
      </x:c>
      <x:c r="J63" s="14" t="n">
        <x:v>3.8412468189755504</x:v>
      </x:c>
      <x:c r="K63" s="14" t="n">
        <x:v>3.840563831830445</x:v>
      </x:c>
    </x:row>
    <x:row r="64">
      <x:c r="A64" t="n">
        <x:v>45717</x:v>
      </x:c>
      <x:c r="B64" s="12" t="n">
        <x:v>20452070</x:v>
      </x:c>
      <x:c r="C64" s="12" t="n">
        <x:v>79688503</x:v>
      </x:c>
      <x:c r="D64" s="12" t="n">
        <x:v>167955</x:v>
      </x:c>
      <x:c r="E64" s="12" t="n">
        <x:v>2247</x:v>
      </x:c>
      <x:c r="F64" s="12" t="n">
        <x:v>79856458</x:v>
      </x:c>
      <x:c r="G64" t="str">
        <x:v>Midland</x:v>
      </x:c>
      <x:c r="H64" t="n">
        <x:v>2025</x:v>
      </x:c>
      <x:c r="I64" s="12" t="n">
        <x:v>20454317</x:v>
      </x:c>
      <x:c r="J64" s="14" t="n">
        <x:v>3.9045660414813756</x:v>
      </x:c>
      <x:c r="K64" s="14" t="n">
        <x:v>3.9041371070957784</x:v>
      </x:c>
    </x:row>
    <x:row r="65">
      <x:c r="A65" t="n">
        <x:v>45748</x:v>
      </x:c>
      <x:c r="B65" s="12" t="n">
        <x:v>19766733</x:v>
      </x:c>
      <x:c r="C65" s="12" t="n">
        <x:v>79293872</x:v>
      </x:c>
      <x:c r="D65" s="12" t="n">
        <x:v>252333</x:v>
      </x:c>
      <x:c r="E65" s="12" t="n">
        <x:v>42184</x:v>
      </x:c>
      <x:c r="F65" s="12" t="n">
        <x:v>79546205</x:v>
      </x:c>
      <x:c r="G65" t="str">
        <x:v>Midland</x:v>
      </x:c>
      <x:c r="H65" t="n">
        <x:v>2025</x:v>
      </x:c>
      <x:c r="I65" s="12" t="n">
        <x:v>19808917</x:v>
      </x:c>
      <x:c r="J65" s="14" t="n">
        <x:v>4.024246444771627</x:v>
      </x:c>
      <x:c r="K65" s="14" t="n">
        <x:v>4.015676626844365</x:v>
      </x:c>
    </x:row>
    <x:row r="66">
      <x:c r="A66" t="n">
        <x:v>45778</x:v>
      </x:c>
      <x:c r="B66" s="12" t="n">
        <x:v>20303519</x:v>
      </x:c>
      <x:c r="C66" s="12" t="n">
        <x:v>82748088</x:v>
      </x:c>
      <x:c r="D66" s="12" t="n">
        <x:v>380877</x:v>
      </x:c>
      <x:c r="E66" s="12" t="n">
        <x:v>59497</x:v>
      </x:c>
      <x:c r="F66" s="12" t="n">
        <x:v>83128965</x:v>
      </x:c>
      <x:c r="G66" t="str">
        <x:v>Midland</x:v>
      </x:c>
      <x:c r="H66" t="n">
        <x:v>2025</x:v>
      </x:c>
      <x:c r="I66" s="12" t="n">
        <x:v>20363016</x:v>
      </x:c>
      <x:c r="J66" s="14" t="n">
        <x:v>4.094313158226414</x:v>
      </x:c>
      <x:c r="K66" s="14" t="n">
        <x:v>4.082350325708137</x:v>
      </x:c>
    </x:row>
    <x:row r="67">
      <x:c r="A67" t="n">
        <x:v>45809</x:v>
      </x:c>
      <x:c r="B67" s="12" t="n">
        <x:v>20198276</x:v>
      </x:c>
      <x:c r="C67" s="12" t="n">
        <x:v>81995771</x:v>
      </x:c>
      <x:c r="D67" s="12" t="n">
        <x:v>479378</x:v>
      </x:c>
      <x:c r="E67" s="12" t="n">
        <x:v>79837</x:v>
      </x:c>
      <x:c r="F67" s="12" t="n">
        <x:v>82475149</x:v>
      </x:c>
      <x:c r="G67" t="str">
        <x:v>Midland</x:v>
      </x:c>
      <x:c r="H67" t="n">
        <x:v>2025</x:v>
      </x:c>
      <x:c r="I67" s="12" t="n">
        <x:v>20278113</x:v>
      </x:c>
      <x:c r="J67" s="14" t="n">
        <x:v>4.0832766618299505</x:v>
      </x:c>
      <x:c r="K67" s="14" t="n">
        <x:v>4.067200384966787</x:v>
      </x:c>
    </x:row>
    <x:row r="68">
      <x:c r="A68" t="n">
        <x:v>45839</x:v>
      </x:c>
      <x:c r="B68" s="12" t="n">
        <x:v>20594624</x:v>
      </x:c>
      <x:c r="C68" s="12" t="n">
        <x:v>84669473</x:v>
      </x:c>
      <x:c r="D68" s="12" t="n">
        <x:v>581260</x:v>
      </x:c>
      <x:c r="E68" s="12" t="n">
        <x:v>88296</x:v>
      </x:c>
      <x:c r="F68" s="12" t="n">
        <x:v>85250733</x:v>
      </x:c>
      <x:c r="G68" t="str">
        <x:v>Midland</x:v>
      </x:c>
      <x:c r="H68" t="n">
        <x:v>2025</x:v>
      </x:c>
      <x:c r="I68" s="12" t="n">
        <x:v>20682920</x:v>
      </x:c>
      <x:c r="J68" s="14" t="n">
        <x:v>4.139465376983819</x:v>
      </x:c>
      <x:c r="K68" s="14" t="n">
        <x:v>4.121793876299865</x:v>
      </x:c>
    </x:row>
    <x:row r="69">
      <x:c r="A69" t="n">
        <x:v>45870</x:v>
      </x:c>
      <x:c r="B69" s="12" t="n">
        <x:v>20405235</x:v>
      </x:c>
      <x:c r="C69" s="12" t="n">
        <x:v>84820251</x:v>
      </x:c>
      <x:c r="D69" s="12" t="n">
        <x:v>693893</x:v>
      </x:c>
      <x:c r="E69" s="12" t="n">
        <x:v>106899</x:v>
      </x:c>
      <x:c r="F69" s="12" t="n">
        <x:v>85514144</x:v>
      </x:c>
      <x:c r="G69" t="str">
        <x:v>Midland</x:v>
      </x:c>
      <x:c r="H69" t="n">
        <x:v>2025</x:v>
      </x:c>
      <x:c r="I69" s="12" t="n">
        <x:v>20512134</x:v>
      </x:c>
      <x:c r="J69" s="14" t="n">
        <x:v>4.190794372130485</x:v>
      </x:c>
      <x:c r="K69" s="14" t="n">
        <x:v>4.1689540444694835</x:v>
      </x:c>
    </x:row>
    <x:row r="70">
      <x:c r="A70" t="n">
        <x:v>45901</x:v>
      </x:c>
      <x:c r="B70" s="12" t="n">
        <x:v>20065013</x:v>
      </x:c>
      <x:c r="C70" s="12" t="n">
        <x:v>81878822</x:v>
      </x:c>
      <x:c r="D70" s="12" t="n">
        <x:v>685108</x:v>
      </x:c>
      <x:c r="E70" s="12" t="n">
        <x:v>114599</x:v>
      </x:c>
      <x:c r="F70" s="12" t="n">
        <x:v>82563930</x:v>
      </x:c>
      <x:c r="G70" t="str">
        <x:v>Midland</x:v>
      </x:c>
      <x:c r="H70" t="n">
        <x:v>2025</x:v>
      </x:c>
      <x:c r="I70" s="12" t="n">
        <x:v>20179612</x:v>
      </x:c>
      <x:c r="J70" s="14" t="n">
        <x:v>4.114820658227333</x:v>
      </x:c>
      <x:c r="K70" s="14" t="n">
        <x:v>4.09145279899336</x:v>
      </x:c>
    </x:row>
    <x:row r="71">
      <x:c r="A71" t="n">
        <x:v>45931</x:v>
      </x:c>
      <x:c r="B71" s="12" t="n">
        <x:v>20503992</x:v>
      </x:c>
      <x:c r="C71" s="12" t="n">
        <x:v>83567730</x:v>
      </x:c>
      <x:c r="D71" s="12" t="n">
        <x:v>701114</x:v>
      </x:c>
      <x:c r="E71" s="12" t="n">
        <x:v>103520</x:v>
      </x:c>
      <x:c r="F71" s="12" t="n">
        <x:v>84268844</x:v>
      </x:c>
      <x:c r="G71" t="str">
        <x:v>Midland</x:v>
      </x:c>
      <x:c r="H71" t="n">
        <x:v>2025</x:v>
      </x:c>
      <x:c r="I71" s="12" t="n">
        <x:v>20607512</x:v>
      </x:c>
      <x:c r="J71" s="14" t="n">
        <x:v>4.1098749940987105</x:v>
      </x:c>
      <x:c r="K71" s="14" t="n">
        <x:v>4.089229403336026</x:v>
      </x:c>
    </x:row>
    <x:row r="72">
      <x:c r="A72" t="n">
        <x:v>45962</x:v>
      </x:c>
      <x:c r="B72" s="12" t="n">
        <x:v>19644692</x:v>
      </x:c>
      <x:c r="C72" s="12" t="n">
        <x:v>82136006</x:v>
      </x:c>
      <x:c r="D72" s="12" t="n">
        <x:v>536741</x:v>
      </x:c>
      <x:c r="E72" s="12" t="n">
        <x:v>80284</x:v>
      </x:c>
      <x:c r="F72" s="12" t="n">
        <x:v>82672747</x:v>
      </x:c>
      <x:c r="G72" t="str">
        <x:v>Midland</x:v>
      </x:c>
      <x:c r="H72" t="n">
        <x:v>2025</x:v>
      </x:c>
      <x:c r="I72" s="12" t="n">
        <x:v>19724976</x:v>
      </x:c>
      <x:c r="J72" s="14" t="n">
        <x:v>4.208401282137689</x:v>
      </x:c>
      <x:c r="K72" s="14" t="n">
        <x:v>4.1912723746786815</x:v>
      </x:c>
    </x:row>
    <x:row r="73">
      <x:c r="A73" t="n">
        <x:v>45992</x:v>
      </x:c>
      <x:c r="B73" s="12" t="n">
        <x:v>19931297</x:v>
      </x:c>
      <x:c r="C73" s="12" t="n">
        <x:v>83875874</x:v>
      </x:c>
      <x:c r="D73" s="12" t="n">
        <x:v>585007</x:v>
      </x:c>
      <x:c r="E73" s="12" t="n">
        <x:v>79713</x:v>
      </x:c>
      <x:c r="F73" s="12" t="n">
        <x:v>84460881</x:v>
      </x:c>
      <x:c r="G73" t="str">
        <x:v>Midland</x:v>
      </x:c>
      <x:c r="H73" t="n">
        <x:v>2025</x:v>
      </x:c>
      <x:c r="I73" s="12" t="n">
        <x:v>20011010</x:v>
      </x:c>
      <x:c r="J73" s="14" t="n">
        <x:v>4.2376008445411255</x:v>
      </x:c>
      <x:c r="K73" s="14" t="n">
        <x:v>4.2207205433408905</x:v>
      </x:c>
    </x:row>
    <x:row r="74">
      <x:c r="A74" t="n">
        <x:v>46023</x:v>
      </x:c>
      <x:c r="B74" s="12" t="n">
        <x:v>19020174</x:v>
      </x:c>
      <x:c r="C74" s="12" t="n">
        <x:v>77704772</x:v>
      </x:c>
      <x:c r="D74" s="12" t="n">
        <x:v>544357</x:v>
      </x:c>
      <x:c r="E74" s="12" t="n">
        <x:v>69899</x:v>
      </x:c>
      <x:c r="F74" s="12" t="n">
        <x:v>78249129</x:v>
      </x:c>
      <x:c r="G74" t="str">
        <x:v>Midland</x:v>
      </x:c>
      <x:c r="H74" t="n">
        <x:v>2026</x:v>
      </x:c>
      <x:c r="I74" s="12" t="n">
        <x:v>19090073</x:v>
      </x:c>
      <x:c r="J74" s="14" t="n">
        <x:v>4.1140070011977805</x:v>
      </x:c>
      <x:c r="K74" s="14" t="n">
        <x:v>4.098943414202764</x:v>
      </x:c>
    </x:row>
    <x:row r="75">
      <x:c r="A75" t="n">
        <x:v>46054</x:v>
      </x:c>
      <x:c r="B75" s="12" t="n">
        <x:v>17870493</x:v>
      </x:c>
      <x:c r="C75" s="12" t="n">
        <x:v>71829506</x:v>
      </x:c>
      <x:c r="D75" s="12" t="n">
        <x:v>471787</x:v>
      </x:c>
      <x:c r="E75" s="12" t="n">
        <x:v>38570</x:v>
      </x:c>
      <x:c r="F75" s="12" t="n">
        <x:v>72301293</x:v>
      </x:c>
      <x:c r="G75" t="str">
        <x:v>Midland</x:v>
      </x:c>
      <x:c r="H75" t="n">
        <x:v>2026</x:v>
      </x:c>
      <x:c r="I75" s="12" t="n">
        <x:v>17909063</x:v>
      </x:c>
      <x:c r="J75" s="14" t="n">
        <x:v>4.045847699892779</x:v>
      </x:c>
      <x:c r="K75" s="14" t="n">
        <x:v>4.037134326904763</x:v>
      </x:c>
    </x:row>
    <x:row r="76">
      <x:c r="A76" t="n">
        <x:v>46082</x:v>
      </x:c>
      <x:c r="B76" s="12" t="n">
        <x:v>19110986</x:v>
      </x:c>
      <x:c r="C76" s="12" t="n">
        <x:v>81574307</x:v>
      </x:c>
      <x:c r="D76" s="12" t="n">
        <x:v>496078</x:v>
      </x:c>
      <x:c r="E76" s="12" t="n">
        <x:v>80249</x:v>
      </x:c>
      <x:c r="F76" s="12" t="n">
        <x:v>82070385</x:v>
      </x:c>
      <x:c r="G76" t="str">
        <x:v>Midland</x:v>
      </x:c>
      <x:c r="H76" t="n">
        <x:v>2026</x:v>
      </x:c>
      <x:c r="I76" s="12" t="n">
        <x:v>19191235</x:v>
      </x:c>
      <x:c r="J76" s="14" t="n">
        <x:v>4.294408723861762</x:v>
      </x:c>
      <x:c r="K76" s="14" t="n">
        <x:v>4.276451463389407</x:v>
      </x:c>
    </x:row>
    <x:row r="77">
      <x:c r="A77" t="n">
        <x:v>43831</x:v>
      </x:c>
      <x:c r="B77" s="12" t="n">
        <x:v>13661490</x:v>
      </x:c>
      <x:c r="C77" s="12" t="n">
        <x:v>24444061</x:v>
      </x:c>
      <x:c r="D77" s="12" t="n">
        <x:v>662</x:v>
      </x:c>
      <x:c r="E77" s="12" t="n">
        <x:v>12</x:v>
      </x:c>
      <x:c r="F77" s="12" t="n">
        <x:v>24444723</x:v>
      </x:c>
      <x:c r="G77" t="str">
        <x:v>Martin</x:v>
      </x:c>
      <x:c r="H77" t="n">
        <x:v>2020</x:v>
      </x:c>
      <x:c r="I77" s="12" t="n">
        <x:v>13661502</x:v>
      </x:c>
      <x:c r="J77" s="14" t="n">
        <x:v>1.7893160262899581</x:v>
      </x:c>
      <x:c r="K77" s="14" t="n">
        <x:v>1.7893144545892539</x:v>
      </x:c>
    </x:row>
    <x:row r="78">
      <x:c r="A78" t="n">
        <x:v>43862</x:v>
      </x:c>
      <x:c r="B78" s="12" t="n">
        <x:v>12450042</x:v>
      </x:c>
      <x:c r="C78" s="12" t="n">
        <x:v>21433524</x:v>
      </x:c>
      <x:c r="D78" s="12" t="n">
        <x:v>620</x:v>
      </x:c>
      <x:c r="E78" s="12" t="n">
        <x:v>0</x:v>
      </x:c>
      <x:c r="F78" s="12" t="n">
        <x:v>21434144</x:v>
      </x:c>
      <x:c r="G78" t="str">
        <x:v>Martin</x:v>
      </x:c>
      <x:c r="H78" t="n">
        <x:v>2020</x:v>
      </x:c>
      <x:c r="I78" s="12" t="n">
        <x:v>12450042</x:v>
      </x:c>
      <x:c r="J78" s="14" t="n">
        <x:v>1.7216121841195395</x:v>
      </x:c>
      <x:c r="K78" s="14" t="n">
        <x:v>1.7216121841195395</x:v>
      </x:c>
    </x:row>
    <x:row r="79">
      <x:c r="A79" t="n">
        <x:v>43891</x:v>
      </x:c>
      <x:c r="B79" s="12" t="n">
        <x:v>14118060</x:v>
      </x:c>
      <x:c r="C79" s="12" t="n">
        <x:v>25295377</x:v>
      </x:c>
      <x:c r="D79" s="12" t="n">
        <x:v>664</x:v>
      </x:c>
      <x:c r="E79" s="12" t="n">
        <x:v>0</x:v>
      </x:c>
      <x:c r="F79" s="12" t="n">
        <x:v>25296041</x:v>
      </x:c>
      <x:c r="G79" t="str">
        <x:v>Martin</x:v>
      </x:c>
      <x:c r="H79" t="n">
        <x:v>2020</x:v>
      </x:c>
      <x:c r="I79" s="12" t="n">
        <x:v>14118060</x:v>
      </x:c>
      <x:c r="J79" s="14" t="n">
        <x:v>1.7917504954646744</x:v>
      </x:c>
      <x:c r="K79" s="14" t="n">
        <x:v>1.7917504954646744</x:v>
      </x:c>
    </x:row>
    <x:row r="80">
      <x:c r="A80" t="n">
        <x:v>43922</x:v>
      </x:c>
      <x:c r="B80" s="12" t="n">
        <x:v>12664713</x:v>
      </x:c>
      <x:c r="C80" s="12" t="n">
        <x:v>23805592</x:v>
      </x:c>
      <x:c r="D80" s="12" t="n">
        <x:v>625</x:v>
      </x:c>
      <x:c r="E80" s="12" t="n">
        <x:v>0</x:v>
      </x:c>
      <x:c r="F80" s="12" t="n">
        <x:v>23806217</x:v>
      </x:c>
      <x:c r="G80" t="str">
        <x:v>Martin</x:v>
      </x:c>
      <x:c r="H80" t="n">
        <x:v>2020</x:v>
      </x:c>
      <x:c r="I80" s="12" t="n">
        <x:v>12664713</x:v>
      </x:c>
      <x:c r="J80" s="14" t="n">
        <x:v>1.8797281075378494</x:v>
      </x:c>
      <x:c r="K80" s="14" t="n">
        <x:v>1.8797281075378494</x:v>
      </x:c>
    </x:row>
    <x:row r="81">
      <x:c r="A81" t="n">
        <x:v>43952</x:v>
      </x:c>
      <x:c r="B81" s="12" t="n">
        <x:v>11356738</x:v>
      </x:c>
      <x:c r="C81" s="12" t="n">
        <x:v>22031715</x:v>
      </x:c>
      <x:c r="D81" s="12" t="n">
        <x:v>356</x:v>
      </x:c>
      <x:c r="E81" s="12" t="n">
        <x:v>0</x:v>
      </x:c>
      <x:c r="F81" s="12" t="n">
        <x:v>22032071</x:v>
      </x:c>
      <x:c r="G81" t="str">
        <x:v>Martin</x:v>
      </x:c>
      <x:c r="H81" t="n">
        <x:v>2020</x:v>
      </x:c>
      <x:c r="I81" s="12" t="n">
        <x:v>11356738</x:v>
      </x:c>
      <x:c r="J81" s="14" t="n">
        <x:v>1.9399999366015135</x:v>
      </x:c>
      <x:c r="K81" s="14" t="n">
        <x:v>1.9399999366015135</x:v>
      </x:c>
    </x:row>
    <x:row r="82">
      <x:c r="A82" t="n">
        <x:v>43983</x:v>
      </x:c>
      <x:c r="B82" s="12" t="n">
        <x:v>12160641</x:v>
      </x:c>
      <x:c r="C82" s="12" t="n">
        <x:v>23638967</x:v>
      </x:c>
      <x:c r="D82" s="12" t="n">
        <x:v>384</x:v>
      </x:c>
      <x:c r="E82" s="12" t="n">
        <x:v>0</x:v>
      </x:c>
      <x:c r="F82" s="12" t="n">
        <x:v>23639351</x:v>
      </x:c>
      <x:c r="G82" t="str">
        <x:v>Martin</x:v>
      </x:c>
      <x:c r="H82" t="n">
        <x:v>2020</x:v>
      </x:c>
      <x:c r="I82" s="12" t="n">
        <x:v>12160641</x:v>
      </x:c>
      <x:c r="J82" s="14" t="n">
        <x:v>1.9439231040534788</x:v>
      </x:c>
      <x:c r="K82" s="14" t="n">
        <x:v>1.9439231040534788</x:v>
      </x:c>
    </x:row>
    <x:row r="83">
      <x:c r="A83" t="n">
        <x:v>44013</x:v>
      </x:c>
      <x:c r="B83" s="12" t="n">
        <x:v>11729627</x:v>
      </x:c>
      <x:c r="C83" s="12" t="n">
        <x:v>24999548</x:v>
      </x:c>
      <x:c r="D83" s="12" t="n">
        <x:v>665</x:v>
      </x:c>
      <x:c r="E83" s="12" t="n">
        <x:v>3</x:v>
      </x:c>
      <x:c r="F83" s="12" t="n">
        <x:v>25000213</x:v>
      </x:c>
      <x:c r="G83" t="str">
        <x:v>Martin</x:v>
      </x:c>
      <x:c r="H83" t="n">
        <x:v>2020</x:v>
      </x:c>
      <x:c r="I83" s="12" t="n">
        <x:v>11729630</x:v>
      </x:c>
      <x:c r="J83" s="14" t="n">
        <x:v>2.131373231220396</x:v>
      </x:c>
      <x:c r="K83" s="14" t="n">
        <x:v>2.131372686094958</x:v>
      </x:c>
    </x:row>
    <x:row r="84">
      <x:c r="A84" t="n">
        <x:v>44044</x:v>
      </x:c>
      <x:c r="B84" s="12" t="n">
        <x:v>11118480</x:v>
      </x:c>
      <x:c r="C84" s="12" t="n">
        <x:v>24939994</x:v>
      </x:c>
      <x:c r="D84" s="12" t="n">
        <x:v>467</x:v>
      </x:c>
      <x:c r="E84" s="12" t="n">
        <x:v>0</x:v>
      </x:c>
      <x:c r="F84" s="12" t="n">
        <x:v>24940461</x:v>
      </x:c>
      <x:c r="G84" t="str">
        <x:v>Martin</x:v>
      </x:c>
      <x:c r="H84" t="n">
        <x:v>2020</x:v>
      </x:c>
      <x:c r="I84" s="12" t="n">
        <x:v>11118480</x:v>
      </x:c>
      <x:c r="J84" s="14" t="n">
        <x:v>2.243153830379692</x:v>
      </x:c>
      <x:c r="K84" s="14" t="n">
        <x:v>2.243153830379692</x:v>
      </x:c>
    </x:row>
    <x:row r="85">
      <x:c r="A85" t="n">
        <x:v>44075</x:v>
      </x:c>
      <x:c r="B85" s="12" t="n">
        <x:v>11316840</x:v>
      </x:c>
      <x:c r="C85" s="12" t="n">
        <x:v>24798453</x:v>
      </x:c>
      <x:c r="D85" s="12" t="n">
        <x:v>327</x:v>
      </x:c>
      <x:c r="E85" s="12" t="n">
        <x:v>6</x:v>
      </x:c>
      <x:c r="F85" s="12" t="n">
        <x:v>24798780</x:v>
      </x:c>
      <x:c r="G85" t="str">
        <x:v>Martin</x:v>
      </x:c>
      <x:c r="H85" t="n">
        <x:v>2020</x:v>
      </x:c>
      <x:c r="I85" s="12" t="n">
        <x:v>11316846</x:v>
      </x:c>
      <x:c r="J85" s="14" t="n">
        <x:v>2.1913166573000944</x:v>
      </x:c>
      <x:c r="K85" s="14" t="n">
        <x:v>2.1913154955011316</x:v>
      </x:c>
    </x:row>
    <x:row r="86">
      <x:c r="A86" t="n">
        <x:v>44105</x:v>
      </x:c>
      <x:c r="B86" s="12" t="n">
        <x:v>12164102</x:v>
      </x:c>
      <x:c r="C86" s="12" t="n">
        <x:v>26485012</x:v>
      </x:c>
      <x:c r="D86" s="12" t="n">
        <x:v>634</x:v>
      </x:c>
      <x:c r="E86" s="12" t="n">
        <x:v>8</x:v>
      </x:c>
      <x:c r="F86" s="12" t="n">
        <x:v>26485646</x:v>
      </x:c>
      <x:c r="G86" t="str">
        <x:v>Martin</x:v>
      </x:c>
      <x:c r="H86" t="n">
        <x:v>2020</x:v>
      </x:c>
      <x:c r="I86" s="12" t="n">
        <x:v>12164110</x:v>
      </x:c>
      <x:c r="J86" s="14" t="n">
        <x:v>2.1773613868084962</x:v>
      </x:c>
      <x:c r="K86" s="14" t="n">
        <x:v>2.177359954817903</x:v>
      </x:c>
    </x:row>
    <x:row r="87">
      <x:c r="A87" t="n">
        <x:v>44136</x:v>
      </x:c>
      <x:c r="B87" s="12" t="n">
        <x:v>11685565</x:v>
      </x:c>
      <x:c r="C87" s="12" t="n">
        <x:v>25935967</x:v>
      </x:c>
      <x:c r="D87" s="12" t="n">
        <x:v>621</x:v>
      </x:c>
      <x:c r="E87" s="12" t="n">
        <x:v>6</x:v>
      </x:c>
      <x:c r="F87" s="12" t="n">
        <x:v>25936588</x:v>
      </x:c>
      <x:c r="G87" t="str">
        <x:v>Martin</x:v>
      </x:c>
      <x:c r="H87" t="n">
        <x:v>2020</x:v>
      </x:c>
      <x:c r="I87" s="12" t="n">
        <x:v>11685571</x:v>
      </x:c>
      <x:c r="J87" s="14" t="n">
        <x:v>2.2195407753069705</x:v>
      </x:c>
      <x:c r="K87" s="14" t="n">
        <x:v>2.219539635675484</x:v>
      </x:c>
    </x:row>
    <x:row r="88">
      <x:c r="A88" t="n">
        <x:v>44166</x:v>
      </x:c>
      <x:c r="B88" s="12" t="n">
        <x:v>11699115</x:v>
      </x:c>
      <x:c r="C88" s="12" t="n">
        <x:v>26028528</x:v>
      </x:c>
      <x:c r="D88" s="12" t="n">
        <x:v>615</x:v>
      </x:c>
      <x:c r="E88" s="12" t="n">
        <x:v>0</x:v>
      </x:c>
      <x:c r="F88" s="12" t="n">
        <x:v>26029143</x:v>
      </x:c>
      <x:c r="G88" t="str">
        <x:v>Martin</x:v>
      </x:c>
      <x:c r="H88" t="n">
        <x:v>2020</x:v>
      </x:c>
      <x:c r="I88" s="12" t="n">
        <x:v>11699115</x:v>
      </x:c>
      <x:c r="J88" s="14" t="n">
        <x:v>2.2248813692317753</x:v>
      </x:c>
      <x:c r="K88" s="14" t="n">
        <x:v>2.2248813692317753</x:v>
      </x:c>
    </x:row>
    <x:row r="89">
      <x:c r="A89" t="n">
        <x:v>44197</x:v>
      </x:c>
      <x:c r="B89" s="12" t="n">
        <x:v>11365243</x:v>
      </x:c>
      <x:c r="C89" s="12" t="n">
        <x:v>25351801</x:v>
      </x:c>
      <x:c r="D89" s="12" t="n">
        <x:v>0</x:v>
      </x:c>
      <x:c r="E89" s="12" t="n">
        <x:v>7</x:v>
      </x:c>
      <x:c r="F89" s="12" t="n">
        <x:v>25351801</x:v>
      </x:c>
      <x:c r="G89" t="str">
        <x:v>Martin</x:v>
      </x:c>
      <x:c r="H89" t="n">
        <x:v>2021</x:v>
      </x:c>
      <x:c r="I89" s="12" t="n">
        <x:v>11365250</x:v>
      </x:c>
      <x:c r="J89" s="14" t="n">
        <x:v>2.230643110754429</x:v>
      </x:c>
      <x:c r="K89" s="14" t="n">
        <x:v>2.230641736873364</x:v>
      </x:c>
    </x:row>
    <x:row r="90">
      <x:c r="A90" t="n">
        <x:v>44228</x:v>
      </x:c>
      <x:c r="B90" s="12" t="n">
        <x:v>8474152</x:v>
      </x:c>
      <x:c r="C90" s="12" t="n">
        <x:v>17258686</x:v>
      </x:c>
      <x:c r="D90" s="12" t="n">
        <x:v>8</x:v>
      </x:c>
      <x:c r="E90" s="12" t="n">
        <x:v>4</x:v>
      </x:c>
      <x:c r="F90" s="12" t="n">
        <x:v>17258694</x:v>
      </x:c>
      <x:c r="G90" t="str">
        <x:v>Martin</x:v>
      </x:c>
      <x:c r="H90" t="n">
        <x:v>2021</x:v>
      </x:c>
      <x:c r="I90" s="12" t="n">
        <x:v>8474156</x:v>
      </x:c>
      <x:c r="J90" s="14" t="n">
        <x:v>2.0366278537368694</x:v>
      </x:c>
      <x:c r="K90" s="14" t="n">
        <x:v>2.036626892400848</x:v>
      </x:c>
    </x:row>
    <x:row r="91">
      <x:c r="A91" t="n">
        <x:v>44256</x:v>
      </x:c>
      <x:c r="B91" s="12" t="n">
        <x:v>12944576</x:v>
      </x:c>
      <x:c r="C91" s="12" t="n">
        <x:v>25097204</x:v>
      </x:c>
      <x:c r="D91" s="12" t="n">
        <x:v>24</x:v>
      </x:c>
      <x:c r="E91" s="12" t="n">
        <x:v>8</x:v>
      </x:c>
      <x:c r="F91" s="12" t="n">
        <x:v>25097228</x:v>
      </x:c>
      <x:c r="G91" t="str">
        <x:v>Martin</x:v>
      </x:c>
      <x:c r="H91" t="n">
        <x:v>2021</x:v>
      </x:c>
      <x:c r="I91" s="12" t="n">
        <x:v>12944584</x:v>
      </x:c>
      <x:c r="J91" s="14" t="n">
        <x:v>1.9388219436465126</x:v>
      </x:c>
      <x:c r="K91" s="14" t="n">
        <x:v>1.938820745417543</x:v>
      </x:c>
    </x:row>
    <x:row r="92">
      <x:c r="A92" t="n">
        <x:v>44287</x:v>
      </x:c>
      <x:c r="B92" s="12" t="n">
        <x:v>13521428</x:v>
      </x:c>
      <x:c r="C92" s="12" t="n">
        <x:v>26797534</x:v>
      </x:c>
      <x:c r="D92" s="12" t="n">
        <x:v>0</x:v>
      </x:c>
      <x:c r="E92" s="12" t="n">
        <x:v>0</x:v>
      </x:c>
      <x:c r="F92" s="12" t="n">
        <x:v>26797534</x:v>
      </x:c>
      <x:c r="G92" t="str">
        <x:v>Martin</x:v>
      </x:c>
      <x:c r="H92" t="n">
        <x:v>2021</x:v>
      </x:c>
      <x:c r="I92" s="12" t="n">
        <x:v>13521428</x:v>
      </x:c>
      <x:c r="J92" s="14" t="n">
        <x:v>1.981856797965422</x:v>
      </x:c>
      <x:c r="K92" s="14" t="n">
        <x:v>1.981856797965422</x:v>
      </x:c>
    </x:row>
    <x:row r="93">
      <x:c r="A93" t="n">
        <x:v>44317</x:v>
      </x:c>
      <x:c r="B93" s="12" t="n">
        <x:v>14835533</x:v>
      </x:c>
      <x:c r="C93" s="12" t="n">
        <x:v>29409230</x:v>
      </x:c>
      <x:c r="D93" s="12" t="n">
        <x:v>274</x:v>
      </x:c>
      <x:c r="E93" s="12" t="n">
        <x:v>0</x:v>
      </x:c>
      <x:c r="F93" s="12" t="n">
        <x:v>29409504</x:v>
      </x:c>
      <x:c r="G93" t="str">
        <x:v>Martin</x:v>
      </x:c>
      <x:c r="H93" t="n">
        <x:v>2021</x:v>
      </x:c>
      <x:c r="I93" s="12" t="n">
        <x:v>14835533</x:v>
      </x:c>
      <x:c r="J93" s="14" t="n">
        <x:v>1.982369221247393</x:v>
      </x:c>
      <x:c r="K93" s="14" t="n">
        <x:v>1.982369221247393</x:v>
      </x:c>
    </x:row>
    <x:row r="94">
      <x:c r="A94" t="n">
        <x:v>44348</x:v>
      </x:c>
      <x:c r="B94" s="12" t="n">
        <x:v>14060725</x:v>
      </x:c>
      <x:c r="C94" s="12" t="n">
        <x:v>28330856</x:v>
      </x:c>
      <x:c r="D94" s="12" t="n">
        <x:v>535</x:v>
      </x:c>
      <x:c r="E94" s="12" t="n">
        <x:v>15</x:v>
      </x:c>
      <x:c r="F94" s="12" t="n">
        <x:v>28331391</x:v>
      </x:c>
      <x:c r="G94" t="str">
        <x:v>Martin</x:v>
      </x:c>
      <x:c r="H94" t="n">
        <x:v>2021</x:v>
      </x:c>
      <x:c r="I94" s="12" t="n">
        <x:v>14060740</x:v>
      </x:c>
      <x:c r="J94" s="14" t="n">
        <x:v>2.0149310224046055</x:v>
      </x:c>
      <x:c r="K94" s="14" t="n">
        <x:v>2.014928872875823</x:v>
      </x:c>
    </x:row>
    <x:row r="95">
      <x:c r="A95" t="n">
        <x:v>44378</x:v>
      </x:c>
      <x:c r="B95" s="12" t="n">
        <x:v>14843030</x:v>
      </x:c>
      <x:c r="C95" s="12" t="n">
        <x:v>30177514</x:v>
      </x:c>
      <x:c r="D95" s="12" t="n">
        <x:v>587</x:v>
      </x:c>
      <x:c r="E95" s="12" t="n">
        <x:v>11</x:v>
      </x:c>
      <x:c r="F95" s="12" t="n">
        <x:v>30178101</x:v>
      </x:c>
      <x:c r="G95" t="str">
        <x:v>Martin</x:v>
      </x:c>
      <x:c r="H95" t="n">
        <x:v>2021</x:v>
      </x:c>
      <x:c r="I95" s="12" t="n">
        <x:v>14843041</x:v>
      </x:c>
      <x:c r="J95" s="14" t="n">
        <x:v>2.0331496331948395</x:v>
      </x:c>
      <x:c r="K95" s="14" t="n">
        <x:v>2.033148126451985</x:v>
      </x:c>
    </x:row>
    <x:row r="96">
      <x:c r="A96" t="n">
        <x:v>44409</x:v>
      </x:c>
      <x:c r="B96" s="12" t="n">
        <x:v>15209177</x:v>
      </x:c>
      <x:c r="C96" s="12" t="n">
        <x:v>31719342</x:v>
      </x:c>
      <x:c r="D96" s="12" t="n">
        <x:v>218</x:v>
      </x:c>
      <x:c r="E96" s="12" t="n">
        <x:v>4</x:v>
      </x:c>
      <x:c r="F96" s="12" t="n">
        <x:v>31719560</x:v>
      </x:c>
      <x:c r="G96" t="str">
        <x:v>Martin</x:v>
      </x:c>
      <x:c r="H96" t="n">
        <x:v>2021</x:v>
      </x:c>
      <x:c r="I96" s="12" t="n">
        <x:v>15209181</x:v>
      </x:c>
      <x:c r="J96" s="14" t="n">
        <x:v>2.0855540046644205</x:v>
      </x:c>
      <x:c r="K96" s="14" t="n">
        <x:v>2.08555345616572</x:v>
      </x:c>
    </x:row>
    <x:row r="97">
      <x:c r="A97" t="n">
        <x:v>44440</x:v>
      </x:c>
      <x:c r="B97" s="12" t="n">
        <x:v>15371377</x:v>
      </x:c>
      <x:c r="C97" s="12" t="n">
        <x:v>31429217</x:v>
      </x:c>
      <x:c r="D97" s="12" t="n">
        <x:v>259</x:v>
      </x:c>
      <x:c r="E97" s="12" t="n">
        <x:v>3</x:v>
      </x:c>
      <x:c r="F97" s="12" t="n">
        <x:v>31429476</x:v>
      </x:c>
      <x:c r="G97" t="str">
        <x:v>Martin</x:v>
      </x:c>
      <x:c r="H97" t="n">
        <x:v>2021</x:v>
      </x:c>
      <x:c r="I97" s="12" t="n">
        <x:v>15371380</x:v>
      </x:c>
      <x:c r="J97" s="14" t="n">
        <x:v>2.0446753729350338</x:v>
      </x:c>
      <x:c r="K97" s="14" t="n">
        <x:v>2.044674973880029</x:v>
      </x:c>
    </x:row>
    <x:row r="98">
      <x:c r="A98" t="n">
        <x:v>44470</x:v>
      </x:c>
      <x:c r="B98" s="12" t="n">
        <x:v>16123763</x:v>
      </x:c>
      <x:c r="C98" s="12" t="n">
        <x:v>33390348</x:v>
      </x:c>
      <x:c r="D98" s="12" t="n">
        <x:v>181</x:v>
      </x:c>
      <x:c r="E98" s="12" t="n">
        <x:v>0</x:v>
      </x:c>
      <x:c r="F98" s="12" t="n">
        <x:v>33390529</x:v>
      </x:c>
      <x:c r="G98" t="str">
        <x:v>Martin</x:v>
      </x:c>
      <x:c r="H98" t="n">
        <x:v>2021</x:v>
      </x:c>
      <x:c r="I98" s="12" t="n">
        <x:v>16123763</x:v>
      </x:c>
      <x:c r="J98" s="14" t="n">
        <x:v>2.070889345123716</x:v>
      </x:c>
      <x:c r="K98" s="14" t="n">
        <x:v>2.070889345123716</x:v>
      </x:c>
    </x:row>
    <x:row r="99">
      <x:c r="A99" t="n">
        <x:v>44501</x:v>
      </x:c>
      <x:c r="B99" s="12" t="n">
        <x:v>14707713</x:v>
      </x:c>
      <x:c r="C99" s="12" t="n">
        <x:v>31863343</x:v>
      </x:c>
      <x:c r="D99" s="12" t="n">
        <x:v>237</x:v>
      </x:c>
      <x:c r="E99" s="12" t="n">
        <x:v>0</x:v>
      </x:c>
      <x:c r="F99" s="12" t="n">
        <x:v>31863580</x:v>
      </x:c>
      <x:c r="G99" t="str">
        <x:v>Martin</x:v>
      </x:c>
      <x:c r="H99" t="n">
        <x:v>2021</x:v>
      </x:c>
      <x:c r="I99" s="12" t="n">
        <x:v>14707713</x:v>
      </x:c>
      <x:c r="J99" s="14" t="n">
        <x:v>2.166453751171239</x:v>
      </x:c>
      <x:c r="K99" s="14" t="n">
        <x:v>2.166453751171239</x:v>
      </x:c>
    </x:row>
    <x:row r="100">
      <x:c r="A100" t="n">
        <x:v>44531</x:v>
      </x:c>
      <x:c r="B100" s="12" t="n">
        <x:v>15021616</x:v>
      </x:c>
      <x:c r="C100" s="12" t="n">
        <x:v>33834728</x:v>
      </x:c>
      <x:c r="D100" s="12" t="n">
        <x:v>235</x:v>
      </x:c>
      <x:c r="E100" s="12" t="n">
        <x:v>1</x:v>
      </x:c>
      <x:c r="F100" s="12" t="n">
        <x:v>33834963</x:v>
      </x:c>
      <x:c r="G100" t="str">
        <x:v>Martin</x:v>
      </x:c>
      <x:c r="H100" t="n">
        <x:v>2021</x:v>
      </x:c>
      <x:c r="I100" s="12" t="n">
        <x:v>15021617</x:v>
      </x:c>
      <x:c r="J100" s="14" t="n">
        <x:v>2.2524183150467967</x:v>
      </x:c>
      <x:c r="K100" s="14" t="n">
        <x:v>2.2524181651016666</x:v>
      </x:c>
    </x:row>
    <x:row r="101">
      <x:c r="A101" t="n">
        <x:v>44562</x:v>
      </x:c>
      <x:c r="B101" s="12" t="n">
        <x:v>15302893</x:v>
      </x:c>
      <x:c r="C101" s="12" t="n">
        <x:v>34062377</x:v>
      </x:c>
      <x:c r="D101" s="12" t="n">
        <x:v>310</x:v>
      </x:c>
      <x:c r="E101" s="12" t="n">
        <x:v>0</x:v>
      </x:c>
      <x:c r="F101" s="12" t="n">
        <x:v>34062687</x:v>
      </x:c>
      <x:c r="G101" t="str">
        <x:v>Martin</x:v>
      </x:c>
      <x:c r="H101" t="n">
        <x:v>2022</x:v>
      </x:c>
      <x:c r="I101" s="12" t="n">
        <x:v>15302893</x:v>
      </x:c>
      <x:c r="J101" s="14" t="n">
        <x:v>2.2258985278143157</x:v>
      </x:c>
      <x:c r="K101" s="14" t="n">
        <x:v>2.2258985278143157</x:v>
      </x:c>
    </x:row>
    <x:row r="102">
      <x:c r="A102" t="n">
        <x:v>44593</x:v>
      </x:c>
      <x:c r="B102" s="12" t="n">
        <x:v>14226506</x:v>
      </x:c>
      <x:c r="C102" s="12" t="n">
        <x:v>31674083</x:v>
      </x:c>
      <x:c r="D102" s="12" t="n">
        <x:v>566</x:v>
      </x:c>
      <x:c r="E102" s="12" t="n">
        <x:v>1</x:v>
      </x:c>
      <x:c r="F102" s="12" t="n">
        <x:v>31674649</x:v>
      </x:c>
      <x:c r="G102" t="str">
        <x:v>Martin</x:v>
      </x:c>
      <x:c r="H102" t="n">
        <x:v>2022</x:v>
      </x:c>
      <x:c r="I102" s="12" t="n">
        <x:v>14226507</x:v>
      </x:c>
      <x:c r="J102" s="14" t="n">
        <x:v>2.226453143168112</x:v>
      </x:c>
      <x:c r="K102" s="14" t="n">
        <x:v>2.2264529866677742</x:v>
      </x:c>
    </x:row>
    <x:row r="103">
      <x:c r="A103" t="n">
        <x:v>44621</x:v>
      </x:c>
      <x:c r="B103" s="12" t="n">
        <x:v>15370618</x:v>
      </x:c>
      <x:c r="C103" s="12" t="n">
        <x:v>35691419</x:v>
      </x:c>
      <x:c r="D103" s="12" t="n">
        <x:v>525</x:v>
      </x:c>
      <x:c r="E103" s="12" t="n">
        <x:v>24</x:v>
      </x:c>
      <x:c r="F103" s="12" t="n">
        <x:v>35691944</x:v>
      </x:c>
      <x:c r="G103" t="str">
        <x:v>Martin</x:v>
      </x:c>
      <x:c r="H103" t="n">
        <x:v>2022</x:v>
      </x:c>
      <x:c r="I103" s="12" t="n">
        <x:v>15370642</x:v>
      </x:c>
      <x:c r="J103" s="14" t="n">
        <x:v>2.322089066295187</x:v>
      </x:c>
      <x:c r="K103" s="14" t="n">
        <x:v>2.322085440543082</x:v>
      </x:c>
    </x:row>
    <x:row r="104">
      <x:c r="A104" t="n">
        <x:v>44652</x:v>
      </x:c>
      <x:c r="B104" s="12" t="n">
        <x:v>14302483</x:v>
      </x:c>
      <x:c r="C104" s="12" t="n">
        <x:v>34710183</x:v>
      </x:c>
      <x:c r="D104" s="12" t="n">
        <x:v>461</x:v>
      </x:c>
      <x:c r="E104" s="12" t="n">
        <x:v>6</x:v>
      </x:c>
      <x:c r="F104" s="12" t="n">
        <x:v>34710644</x:v>
      </x:c>
      <x:c r="G104" t="str">
        <x:v>Martin</x:v>
      </x:c>
      <x:c r="H104" t="n">
        <x:v>2022</x:v>
      </x:c>
      <x:c r="I104" s="12" t="n">
        <x:v>14302489</x:v>
      </x:c>
      <x:c r="J104" s="14" t="n">
        <x:v>2.42689636477806</x:v>
      </x:c>
      <x:c r="K104" s="14" t="n">
        <x:v>2.4268953466770715</x:v>
      </x:c>
    </x:row>
    <x:row r="105">
      <x:c r="A105" t="n">
        <x:v>44682</x:v>
      </x:c>
      <x:c r="B105" s="12" t="n">
        <x:v>14595004</x:v>
      </x:c>
      <x:c r="C105" s="12" t="n">
        <x:v>35777787</x:v>
      </x:c>
      <x:c r="D105" s="12" t="n">
        <x:v>463</x:v>
      </x:c>
      <x:c r="E105" s="12" t="n">
        <x:v>7</x:v>
      </x:c>
      <x:c r="F105" s="12" t="n">
        <x:v>35778250</x:v>
      </x:c>
      <x:c r="G105" t="str">
        <x:v>Martin</x:v>
      </x:c>
      <x:c r="H105" t="n">
        <x:v>2022</x:v>
      </x:c>
      <x:c r="I105" s="12" t="n">
        <x:v>14595011</x:v>
      </x:c>
      <x:c r="J105" s="14" t="n">
        <x:v>2.451403918765627</x:v>
      </x:c>
      <x:c r="K105" s="14" t="n">
        <x:v>2.451402743033219</x:v>
      </x:c>
    </x:row>
    <x:row r="106">
      <x:c r="A106" t="n">
        <x:v>44713</x:v>
      </x:c>
      <x:c r="B106" s="12" t="n">
        <x:v>14929105</x:v>
      </x:c>
      <x:c r="C106" s="12" t="n">
        <x:v>35488903</x:v>
      </x:c>
      <x:c r="D106" s="12" t="n">
        <x:v>412</x:v>
      </x:c>
      <x:c r="E106" s="12" t="n">
        <x:v>4</x:v>
      </x:c>
      <x:c r="F106" s="12" t="n">
        <x:v>35489315</x:v>
      </x:c>
      <x:c r="G106" t="str">
        <x:v>Martin</x:v>
      </x:c>
      <x:c r="H106" t="n">
        <x:v>2022</x:v>
      </x:c>
      <x:c r="I106" s="12" t="n">
        <x:v>14929109</x:v>
      </x:c>
      <x:c r="J106" s="14" t="n">
        <x:v>2.377189724367268</x:v>
      </x:c>
      <x:c r="K106" s="14" t="n">
        <x:v>2.3771890874398465</x:v>
      </x:c>
    </x:row>
    <x:row r="107">
      <x:c r="A107" t="n">
        <x:v>44743</x:v>
      </x:c>
      <x:c r="B107" s="12" t="n">
        <x:v>15828079</x:v>
      </x:c>
      <x:c r="C107" s="12" t="n">
        <x:v>37344069</x:v>
      </x:c>
      <x:c r="D107" s="12" t="n">
        <x:v>418</x:v>
      </x:c>
      <x:c r="E107" s="12" t="n">
        <x:v>5</x:v>
      </x:c>
      <x:c r="F107" s="12" t="n">
        <x:v>37344487</x:v>
      </x:c>
      <x:c r="G107" t="str">
        <x:v>Martin</x:v>
      </x:c>
      <x:c r="H107" t="n">
        <x:v>2022</x:v>
      </x:c>
      <x:c r="I107" s="12" t="n">
        <x:v>15828084</x:v>
      </x:c>
      <x:c r="J107" s="14" t="n">
        <x:v>2.359382146121459</x:v>
      </x:c>
      <x:c r="K107" s="14" t="n">
        <x:v>2.3593814008063134</x:v>
      </x:c>
    </x:row>
    <x:row r="108">
      <x:c r="A108" t="n">
        <x:v>44774</x:v>
      </x:c>
      <x:c r="B108" s="12" t="n">
        <x:v>16254792</x:v>
      </x:c>
      <x:c r="C108" s="12" t="n">
        <x:v>37883429</x:v>
      </x:c>
      <x:c r="D108" s="12" t="n">
        <x:v>484</x:v>
      </x:c>
      <x:c r="E108" s="12" t="n">
        <x:v>6</x:v>
      </x:c>
      <x:c r="F108" s="12" t="n">
        <x:v>37883913</x:v>
      </x:c>
      <x:c r="G108" t="str">
        <x:v>Martin</x:v>
      </x:c>
      <x:c r="H108" t="n">
        <x:v>2022</x:v>
      </x:c>
      <x:c r="I108" s="12" t="n">
        <x:v>16254798</x:v>
      </x:c>
      <x:c r="J108" s="14" t="n">
        <x:v>2.330630438088657</x:v>
      </x:c>
      <x:c r="K108" s="14" t="n">
        <x:v>2.3306295778021973</x:v>
      </x:c>
    </x:row>
    <x:row r="109">
      <x:c r="A109" t="n">
        <x:v>44805</x:v>
      </x:c>
      <x:c r="B109" s="12" t="n">
        <x:v>16451173</x:v>
      </x:c>
      <x:c r="C109" s="12" t="n">
        <x:v>37775405</x:v>
      </x:c>
      <x:c r="D109" s="12" t="n">
        <x:v>423</x:v>
      </x:c>
      <x:c r="E109" s="12" t="n">
        <x:v>6</x:v>
      </x:c>
      <x:c r="F109" s="12" t="n">
        <x:v>37775828</x:v>
      </x:c>
      <x:c r="G109" t="str">
        <x:v>Martin</x:v>
      </x:c>
      <x:c r="H109" t="n">
        <x:v>2022</x:v>
      </x:c>
      <x:c r="I109" s="12" t="n">
        <x:v>16451179</x:v>
      </x:c>
      <x:c r="J109" s="14" t="n">
        <x:v>2.2962391800268587</x:v>
      </x:c>
      <x:c r="K109" s="14" t="n">
        <x:v>2.2962383425528348</x:v>
      </x:c>
    </x:row>
    <x:row r="110">
      <x:c r="A110" t="n">
        <x:v>44835</x:v>
      </x:c>
      <x:c r="B110" s="12" t="n">
        <x:v>17096459</x:v>
      </x:c>
      <x:c r="C110" s="12" t="n">
        <x:v>39472528</x:v>
      </x:c>
      <x:c r="D110" s="12" t="n">
        <x:v>472</x:v>
      </x:c>
      <x:c r="E110" s="12" t="n">
        <x:v>6</x:v>
      </x:c>
      <x:c r="F110" s="12" t="n">
        <x:v>39473000</x:v>
      </x:c>
      <x:c r="G110" t="str">
        <x:v>Martin</x:v>
      </x:c>
      <x:c r="H110" t="n">
        <x:v>2022</x:v>
      </x:c>
      <x:c r="I110" s="12" t="n">
        <x:v>17096465</x:v>
      </x:c>
      <x:c r="J110" s="14" t="n">
        <x:v>2.3088406786457942</x:v>
      </x:c>
      <x:c r="K110" s="14" t="n">
        <x:v>2.3088398683587514</x:v>
      </x:c>
    </x:row>
    <x:row r="111">
      <x:c r="A111" t="n">
        <x:v>44866</x:v>
      </x:c>
      <x:c r="B111" s="12" t="n">
        <x:v>17267460</x:v>
      </x:c>
      <x:c r="C111" s="12" t="n">
        <x:v>39523273</x:v>
      </x:c>
      <x:c r="D111" s="12" t="n">
        <x:v>437</x:v>
      </x:c>
      <x:c r="E111" s="12" t="n">
        <x:v>9</x:v>
      </x:c>
      <x:c r="F111" s="12" t="n">
        <x:v>39523710</x:v>
      </x:c>
      <x:c r="G111" t="str">
        <x:v>Martin</x:v>
      </x:c>
      <x:c r="H111" t="n">
        <x:v>2022</x:v>
      </x:c>
      <x:c r="I111" s="12" t="n">
        <x:v>17267469</x:v>
      </x:c>
      <x:c r="J111" s="14" t="n">
        <x:v>2.288912787404749</x:v>
      </x:c>
      <x:c r="K111" s="14" t="n">
        <x:v>2.2889115943975344</x:v>
      </x:c>
    </x:row>
    <x:row r="112">
      <x:c r="A112" t="n">
        <x:v>44896</x:v>
      </x:c>
      <x:c r="B112" s="12" t="n">
        <x:v>17754241</x:v>
      </x:c>
      <x:c r="C112" s="12" t="n">
        <x:v>41246449</x:v>
      </x:c>
      <x:c r="D112" s="12" t="n">
        <x:v>643</x:v>
      </x:c>
      <x:c r="E112" s="12" t="n">
        <x:v>8</x:v>
      </x:c>
      <x:c r="F112" s="12" t="n">
        <x:v>41247092</x:v>
      </x:c>
      <x:c r="G112" t="str">
        <x:v>Martin</x:v>
      </x:c>
      <x:c r="H112" t="n">
        <x:v>2022</x:v>
      </x:c>
      <x:c r="I112" s="12" t="n">
        <x:v>17754249</x:v>
      </x:c>
      <x:c r="J112" s="14" t="n">
        <x:v>2.323224743879505</x:v>
      </x:c>
      <x:c r="K112" s="14" t="n">
        <x:v>2.3232236970428883</x:v>
      </x:c>
    </x:row>
    <x:row r="113">
      <x:c r="A113" t="n">
        <x:v>44927</x:v>
      </x:c>
      <x:c r="B113" s="12" t="n">
        <x:v>17058546</x:v>
      </x:c>
      <x:c r="C113" s="12" t="n">
        <x:v>40823440</x:v>
      </x:c>
      <x:c r="D113" s="12" t="n">
        <x:v>609</x:v>
      </x:c>
      <x:c r="E113" s="12" t="n">
        <x:v>3</x:v>
      </x:c>
      <x:c r="F113" s="12" t="n">
        <x:v>40824049</x:v>
      </x:c>
      <x:c r="G113" t="str">
        <x:v>Martin</x:v>
      </x:c>
      <x:c r="H113" t="n">
        <x:v>2023</x:v>
      </x:c>
      <x:c r="I113" s="12" t="n">
        <x:v>17058549</x:v>
      </x:c>
      <x:c r="J113" s="14" t="n">
        <x:v>2.3931728413429845</x:v>
      </x:c>
      <x:c r="K113" s="14" t="n">
        <x:v>2.393172420467884</x:v>
      </x:c>
    </x:row>
    <x:row r="114">
      <x:c r="A114" t="n">
        <x:v>44958</x:v>
      </x:c>
      <x:c r="B114" s="12" t="n">
        <x:v>15545800</x:v>
      </x:c>
      <x:c r="C114" s="12" t="n">
        <x:v>37410544</x:v>
      </x:c>
      <x:c r="D114" s="12" t="n">
        <x:v>501</x:v>
      </x:c>
      <x:c r="E114" s="12" t="n">
        <x:v>10</x:v>
      </x:c>
      <x:c r="F114" s="12" t="n">
        <x:v>37411045</x:v>
      </x:c>
      <x:c r="G114" t="str">
        <x:v>Martin</x:v>
      </x:c>
      <x:c r="H114" t="n">
        <x:v>2023</x:v>
      </x:c>
      <x:c r="I114" s="12" t="n">
        <x:v>15545810</x:v>
      </x:c>
      <x:c r="J114" s="14" t="n">
        <x:v>2.406504972404122</x:v>
      </x:c>
      <x:c r="K114" s="14" t="n">
        <x:v>2.4065034243953836</x:v>
      </x:c>
    </x:row>
    <x:row r="115">
      <x:c r="A115" t="n">
        <x:v>44986</x:v>
      </x:c>
      <x:c r="B115" s="12" t="n">
        <x:v>17569546</x:v>
      </x:c>
      <x:c r="C115" s="12" t="n">
        <x:v>43826795</x:v>
      </x:c>
      <x:c r="D115" s="12" t="n">
        <x:v>386</x:v>
      </x:c>
      <x:c r="E115" s="12" t="n">
        <x:v>5</x:v>
      </x:c>
      <x:c r="F115" s="12" t="n">
        <x:v>43827181</x:v>
      </x:c>
      <x:c r="G115" t="str">
        <x:v>Martin</x:v>
      </x:c>
      <x:c r="H115" t="n">
        <x:v>2023</x:v>
      </x:c>
      <x:c r="I115" s="12" t="n">
        <x:v>17569551</x:v>
      </x:c>
      <x:c r="J115" s="14" t="n">
        <x:v>2.4944970689623966</x:v>
      </x:c>
      <x:c r="K115" s="14" t="n">
        <x:v>2.494496359070303</x:v>
      </x:c>
    </x:row>
    <x:row r="116">
      <x:c r="A116" t="n">
        <x:v>45017</x:v>
      </x:c>
      <x:c r="B116" s="12" t="n">
        <x:v>17262852</x:v>
      </x:c>
      <x:c r="C116" s="12" t="n">
        <x:v>43082119</x:v>
      </x:c>
      <x:c r="D116" s="12" t="n">
        <x:v>446</x:v>
      </x:c>
      <x:c r="E116" s="12" t="n">
        <x:v>11</x:v>
      </x:c>
      <x:c r="F116" s="12" t="n">
        <x:v>43082565</x:v>
      </x:c>
      <x:c r="G116" t="str">
        <x:v>Martin</x:v>
      </x:c>
      <x:c r="H116" t="n">
        <x:v>2023</x:v>
      </x:c>
      <x:c r="I116" s="12" t="n">
        <x:v>17262863</x:v>
      </x:c>
      <x:c r="J116" s="14" t="n">
        <x:v>2.495680609438116</x:v>
      </x:c>
      <x:c r="K116" s="14" t="n">
        <x:v>2.4956790191754403</x:v>
      </x:c>
    </x:row>
    <x:row r="117">
      <x:c r="A117" t="n">
        <x:v>45047</x:v>
      </x:c>
      <x:c r="B117" s="12" t="n">
        <x:v>17788055</x:v>
      </x:c>
      <x:c r="C117" s="12" t="n">
        <x:v>44662231</x:v>
      </x:c>
      <x:c r="D117" s="12" t="n">
        <x:v>1165</x:v>
      </x:c>
      <x:c r="E117" s="12" t="n">
        <x:v>9</x:v>
      </x:c>
      <x:c r="F117" s="12" t="n">
        <x:v>44663396</x:v>
      </x:c>
      <x:c r="G117" t="str">
        <x:v>Martin</x:v>
      </x:c>
      <x:c r="H117" t="n">
        <x:v>2023</x:v>
      </x:c>
      <x:c r="I117" s="12" t="n">
        <x:v>17788064</x:v>
      </x:c>
      <x:c r="J117" s="14" t="n">
        <x:v>2.5108645099197187</x:v>
      </x:c>
      <x:c r="K117" s="14" t="n">
        <x:v>2.510863239529608</x:v>
      </x:c>
    </x:row>
    <x:row r="118">
      <x:c r="A118" t="n">
        <x:v>45078</x:v>
      </x:c>
      <x:c r="B118" s="12" t="n">
        <x:v>17227323</x:v>
      </x:c>
      <x:c r="C118" s="12" t="n">
        <x:v>43916400</x:v>
      </x:c>
      <x:c r="D118" s="12" t="n">
        <x:v>978</x:v>
      </x:c>
      <x:c r="E118" s="12" t="n">
        <x:v>9</x:v>
      </x:c>
      <x:c r="F118" s="12" t="n">
        <x:v>43917378</x:v>
      </x:c>
      <x:c r="G118" t="str">
        <x:v>Martin</x:v>
      </x:c>
      <x:c r="H118" t="n">
        <x:v>2023</x:v>
      </x:c>
      <x:c r="I118" s="12" t="n">
        <x:v>17227332</x:v>
      </x:c>
      <x:c r="J118" s="14" t="n">
        <x:v>2.5492862704205406</x:v>
      </x:c>
      <x:c r="K118" s="14" t="n">
        <x:v>2.549284938608021</x:v>
      </x:c>
    </x:row>
    <x:row r="119">
      <x:c r="A119" t="n">
        <x:v>45108</x:v>
      </x:c>
      <x:c r="B119" s="12" t="n">
        <x:v>18165479</x:v>
      </x:c>
      <x:c r="C119" s="12" t="n">
        <x:v>45050408</x:v>
      </x:c>
      <x:c r="D119" s="12" t="n">
        <x:v>772</x:v>
      </x:c>
      <x:c r="E119" s="12" t="n">
        <x:v>5</x:v>
      </x:c>
      <x:c r="F119" s="12" t="n">
        <x:v>45051180</x:v>
      </x:c>
      <x:c r="G119" t="str">
        <x:v>Martin</x:v>
      </x:c>
      <x:c r="H119" t="n">
        <x:v>2023</x:v>
      </x:c>
      <x:c r="I119" s="12" t="n">
        <x:v>18165484</x:v>
      </x:c>
      <x:c r="J119" s="14" t="n">
        <x:v>2.4800436035845794</x:v>
      </x:c>
      <x:c r="K119" s="14" t="n">
        <x:v>2.4800429209593315</x:v>
      </x:c>
    </x:row>
    <x:row r="120">
      <x:c r="A120" t="n">
        <x:v>45139</x:v>
      </x:c>
      <x:c r="B120" s="12" t="n">
        <x:v>19350616</x:v>
      </x:c>
      <x:c r="C120" s="12" t="n">
        <x:v>47422960</x:v>
      </x:c>
      <x:c r="D120" s="12" t="n">
        <x:v>641</x:v>
      </x:c>
      <x:c r="E120" s="12" t="n">
        <x:v>0</x:v>
      </x:c>
      <x:c r="F120" s="12" t="n">
        <x:v>47423601</x:v>
      </x:c>
      <x:c r="G120" t="str">
        <x:v>Martin</x:v>
      </x:c>
      <x:c r="H120" t="n">
        <x:v>2023</x:v>
      </x:c>
      <x:c r="I120" s="12" t="n">
        <x:v>19350616</x:v>
      </x:c>
      <x:c r="J120" s="14" t="n">
        <x:v>2.450754074185545</x:v>
      </x:c>
      <x:c r="K120" s="14" t="n">
        <x:v>2.450754074185545</x:v>
      </x:c>
    </x:row>
    <x:row r="121">
      <x:c r="A121" t="n">
        <x:v>45170</x:v>
      </x:c>
      <x:c r="B121" s="12" t="n">
        <x:v>19452297</x:v>
      </x:c>
      <x:c r="C121" s="12" t="n">
        <x:v>46680098</x:v>
      </x:c>
      <x:c r="D121" s="12" t="n">
        <x:v>533</x:v>
      </x:c>
      <x:c r="E121" s="12" t="n">
        <x:v>0</x:v>
      </x:c>
      <x:c r="F121" s="12" t="n">
        <x:v>46680631</x:v>
      </x:c>
      <x:c r="G121" t="str">
        <x:v>Martin</x:v>
      </x:c>
      <x:c r="H121" t="n">
        <x:v>2023</x:v>
      </x:c>
      <x:c r="I121" s="12" t="n">
        <x:v>19452297</x:v>
      </x:c>
      <x:c r="J121" s="14" t="n">
        <x:v>2.3997490373501904</x:v>
      </x:c>
      <x:c r="K121" s="14" t="n">
        <x:v>2.3997490373501904</x:v>
      </x:c>
    </x:row>
    <x:row r="122">
      <x:c r="A122" t="n">
        <x:v>45200</x:v>
      </x:c>
      <x:c r="B122" s="12" t="n">
        <x:v>20815810</x:v>
      </x:c>
      <x:c r="C122" s="12" t="n">
        <x:v>49046853</x:v>
      </x:c>
      <x:c r="D122" s="12" t="n">
        <x:v>540</x:v>
      </x:c>
      <x:c r="E122" s="12" t="n">
        <x:v>2</x:v>
      </x:c>
      <x:c r="F122" s="12" t="n">
        <x:v>49047393</x:v>
      </x:c>
      <x:c r="G122" t="str">
        <x:v>Martin</x:v>
      </x:c>
      <x:c r="H122" t="n">
        <x:v>2023</x:v>
      </x:c>
      <x:c r="I122" s="12" t="n">
        <x:v>20815812</x:v>
      </x:c>
      <x:c r="J122" s="14" t="n">
        <x:v>2.356256758684865</x:v>
      </x:c>
      <x:c r="K122" s="14" t="n">
        <x:v>2.356256532293816</x:v>
      </x:c>
    </x:row>
    <x:row r="123">
      <x:c r="A123" t="n">
        <x:v>45231</x:v>
      </x:c>
      <x:c r="B123" s="12" t="n">
        <x:v>21004227</x:v>
      </x:c>
      <x:c r="C123" s="12" t="n">
        <x:v>49586774</x:v>
      </x:c>
      <x:c r="D123" s="12" t="n">
        <x:v>689</x:v>
      </x:c>
      <x:c r="E123" s="12" t="n">
        <x:v>0</x:v>
      </x:c>
      <x:c r="F123" s="12" t="n">
        <x:v>49587463</x:v>
      </x:c>
      <x:c r="G123" t="str">
        <x:v>Martin</x:v>
      </x:c>
      <x:c r="H123" t="n">
        <x:v>2023</x:v>
      </x:c>
      <x:c r="I123" s="12" t="n">
        <x:v>21004227</x:v>
      </x:c>
      <x:c r="J123" s="14" t="n">
        <x:v>2.360832560036606</x:v>
      </x:c>
      <x:c r="K123" s="14" t="n">
        <x:v>2.360832560036606</x:v>
      </x:c>
    </x:row>
    <x:row r="124">
      <x:c r="A124" t="n">
        <x:v>45261</x:v>
      </x:c>
      <x:c r="B124" s="12" t="n">
        <x:v>20859762</x:v>
      </x:c>
      <x:c r="C124" s="12" t="n">
        <x:v>50957075</x:v>
      </x:c>
      <x:c r="D124" s="12" t="n">
        <x:v>638</x:v>
      </x:c>
      <x:c r="E124" s="12" t="n">
        <x:v>4</x:v>
      </x:c>
      <x:c r="F124" s="12" t="n">
        <x:v>50957713</x:v>
      </x:c>
      <x:c r="G124" t="str">
        <x:v>Martin</x:v>
      </x:c>
      <x:c r="H124" t="n">
        <x:v>2023</x:v>
      </x:c>
      <x:c r="I124" s="12" t="n">
        <x:v>20859766</x:v>
      </x:c>
      <x:c r="J124" s="14" t="n">
        <x:v>2.442871256153354</x:v>
      </x:c>
      <x:c r="K124" s="14" t="n">
        <x:v>2.4428707877164104</x:v>
      </x:c>
    </x:row>
    <x:row r="125">
      <x:c r="A125" t="n">
        <x:v>45292</x:v>
      </x:c>
      <x:c r="B125" s="12" t="n">
        <x:v>19538706</x:v>
      </x:c>
      <x:c r="C125" s="12" t="n">
        <x:v>48192338</x:v>
      </x:c>
      <x:c r="D125" s="12" t="n">
        <x:v>455</x:v>
      </x:c>
      <x:c r="E125" s="12" t="n">
        <x:v>2</x:v>
      </x:c>
      <x:c r="F125" s="12" t="n">
        <x:v>48192793</x:v>
      </x:c>
      <x:c r="G125" t="str">
        <x:v>Martin</x:v>
      </x:c>
      <x:c r="H125" t="n">
        <x:v>2024</x:v>
      </x:c>
      <x:c r="I125" s="12" t="n">
        <x:v>19538708</x:v>
      </x:c>
      <x:c r="J125" s="14" t="n">
        <x:v>2.4665294109036697</x:v>
      </x:c>
      <x:c r="K125" s="14" t="n">
        <x:v>2.4665291584274662</x:v>
      </x:c>
    </x:row>
    <x:row r="126">
      <x:c r="A126" t="n">
        <x:v>45323</x:v>
      </x:c>
      <x:c r="B126" s="12" t="n">
        <x:v>19453100</x:v>
      </x:c>
      <x:c r="C126" s="12" t="n">
        <x:v>46465117</x:v>
      </x:c>
      <x:c r="D126" s="12" t="n">
        <x:v>502</x:v>
      </x:c>
      <x:c r="E126" s="12" t="n">
        <x:v>0</x:v>
      </x:c>
      <x:c r="F126" s="12" t="n">
        <x:v>46465619</x:v>
      </x:c>
      <x:c r="G126" t="str">
        <x:v>Martin</x:v>
      </x:c>
      <x:c r="H126" t="n">
        <x:v>2024</x:v>
      </x:c>
      <x:c r="I126" s="12" t="n">
        <x:v>19453100</x:v>
      </x:c>
      <x:c r="J126" s="14" t="n">
        <x:v>2.388597138759375</x:v>
      </x:c>
      <x:c r="K126" s="14" t="n">
        <x:v>2.388597138759375</x:v>
      </x:c>
    </x:row>
    <x:row r="127">
      <x:c r="A127" t="n">
        <x:v>45352</x:v>
      </x:c>
      <x:c r="B127" s="12" t="n">
        <x:v>21766257</x:v>
      </x:c>
      <x:c r="C127" s="12" t="n">
        <x:v>53266097</x:v>
      </x:c>
      <x:c r="D127" s="12" t="n">
        <x:v>670</x:v>
      </x:c>
      <x:c r="E127" s="12" t="n">
        <x:v>9</x:v>
      </x:c>
      <x:c r="F127" s="12" t="n">
        <x:v>53266767</x:v>
      </x:c>
      <x:c r="G127" t="str">
        <x:v>Martin</x:v>
      </x:c>
      <x:c r="H127" t="n">
        <x:v>2024</x:v>
      </x:c>
      <x:c r="I127" s="12" t="n">
        <x:v>21766266</x:v>
      </x:c>
      <x:c r="J127" s="14" t="n">
        <x:v>2.447217590052346</x:v>
      </x:c>
      <x:c r="K127" s="14" t="n">
        <x:v>2.4472165781673345</x:v>
      </x:c>
    </x:row>
    <x:row r="128">
      <x:c r="A128" t="n">
        <x:v>45383</x:v>
      </x:c>
      <x:c r="B128" s="12" t="n">
        <x:v>21325733</x:v>
      </x:c>
      <x:c r="C128" s="12" t="n">
        <x:v>52929433</x:v>
      </x:c>
      <x:c r="D128" s="12" t="n">
        <x:v>991</x:v>
      </x:c>
      <x:c r="E128" s="12" t="n">
        <x:v>12</x:v>
      </x:c>
      <x:c r="F128" s="12" t="n">
        <x:v>52930424</x:v>
      </x:c>
      <x:c r="G128" t="str">
        <x:v>Martin</x:v>
      </x:c>
      <x:c r="H128" t="n">
        <x:v>2024</x:v>
      </x:c>
      <x:c r="I128" s="12" t="n">
        <x:v>21325745</x:v>
      </x:c>
      <x:c r="J128" s="14" t="n">
        <x:v>2.4819978755243723</x:v>
      </x:c>
      <x:c r="K128" s="14" t="n">
        <x:v>2.481996478903785</x:v>
      </x:c>
    </x:row>
    <x:row r="129">
      <x:c r="A129" t="n">
        <x:v>45413</x:v>
      </x:c>
      <x:c r="B129" s="12" t="n">
        <x:v>21953749</x:v>
      </x:c>
      <x:c r="C129" s="12" t="n">
        <x:v>54734550</x:v>
      </x:c>
      <x:c r="D129" s="12" t="n">
        <x:v>971</x:v>
      </x:c>
      <x:c r="E129" s="12" t="n">
        <x:v>14</x:v>
      </x:c>
      <x:c r="F129" s="12" t="n">
        <x:v>54735521</x:v>
      </x:c>
      <x:c r="G129" t="str">
        <x:v>Martin</x:v>
      </x:c>
      <x:c r="H129" t="n">
        <x:v>2024</x:v>
      </x:c>
      <x:c r="I129" s="12" t="n">
        <x:v>21953763</x:v>
      </x:c>
      <x:c r="J129" s="14" t="n">
        <x:v>2.4932197685233626</x:v>
      </x:c>
      <x:c r="K129" s="14" t="n">
        <x:v>2.493218178587425</x:v>
      </x:c>
    </x:row>
    <x:row r="130">
      <x:c r="A130" t="n">
        <x:v>45444</x:v>
      </x:c>
      <x:c r="B130" s="12" t="n">
        <x:v>20870570</x:v>
      </x:c>
      <x:c r="C130" s="12" t="n">
        <x:v>55107807</x:v>
      </x:c>
      <x:c r="D130" s="12" t="n">
        <x:v>119464</x:v>
      </x:c>
      <x:c r="E130" s="12" t="n">
        <x:v>91203</x:v>
      </x:c>
      <x:c r="F130" s="12" t="n">
        <x:v>55227271</x:v>
      </x:c>
      <x:c r="G130" t="str">
        <x:v>Martin</x:v>
      </x:c>
      <x:c r="H130" t="n">
        <x:v>2024</x:v>
      </x:c>
      <x:c r="I130" s="12" t="n">
        <x:v>20961773</x:v>
      </x:c>
      <x:c r="J130" s="14" t="n">
        <x:v>2.6461793329075345</x:v>
      </x:c>
      <x:c r="K130" s="14" t="n">
        <x:v>2.634666017993802</x:v>
      </x:c>
    </x:row>
    <x:row r="131">
      <x:c r="A131" t="n">
        <x:v>45474</x:v>
      </x:c>
      <x:c r="B131" s="12" t="n">
        <x:v>21291654</x:v>
      </x:c>
      <x:c r="C131" s="12" t="n">
        <x:v>57847397</x:v>
      </x:c>
      <x:c r="D131" s="12" t="n">
        <x:v>292475</x:v>
      </x:c>
      <x:c r="E131" s="12" t="n">
        <x:v>103199</x:v>
      </x:c>
      <x:c r="F131" s="12" t="n">
        <x:v>58139872</x:v>
      </x:c>
      <x:c r="G131" t="str">
        <x:v>Martin</x:v>
      </x:c>
      <x:c r="H131" t="n">
        <x:v>2024</x:v>
      </x:c>
      <x:c r="I131" s="12" t="n">
        <x:v>21394853</x:v>
      </x:c>
      <x:c r="J131" s="14" t="n">
        <x:v>2.7306414053130865</x:v>
      </x:c>
      <x:c r="K131" s="14" t="n">
        <x:v>2.7174700382377015</x:v>
      </x:c>
    </x:row>
    <x:row r="132">
      <x:c r="A132" t="n">
        <x:v>45505</x:v>
      </x:c>
      <x:c r="B132" s="12" t="n">
        <x:v>21998220</x:v>
      </x:c>
      <x:c r="C132" s="12" t="n">
        <x:v>58975041</x:v>
      </x:c>
      <x:c r="D132" s="12" t="n">
        <x:v>684897</x:v>
      </x:c>
      <x:c r="E132" s="12" t="n">
        <x:v>149228</x:v>
      </x:c>
      <x:c r="F132" s="12" t="n">
        <x:v>59659938</x:v>
      </x:c>
      <x:c r="G132" t="str">
        <x:v>Martin</x:v>
      </x:c>
      <x:c r="H132" t="n">
        <x:v>2024</x:v>
      </x:c>
      <x:c r="I132" s="12" t="n">
        <x:v>22147448</x:v>
      </x:c>
      <x:c r="J132" s="14" t="n">
        <x:v>2.7120347919058907</x:v>
      </x:c>
      <x:c r="K132" s="14" t="n">
        <x:v>2.6937612857246576</x:v>
      </x:c>
    </x:row>
    <x:row r="133">
      <x:c r="A133" t="n">
        <x:v>45536</x:v>
      </x:c>
      <x:c r="B133" s="12" t="n">
        <x:v>20827813</x:v>
      </x:c>
      <x:c r="C133" s="12" t="n">
        <x:v>56615347</x:v>
      </x:c>
      <x:c r="D133" s="12" t="n">
        <x:v>959658</x:v>
      </x:c>
      <x:c r="E133" s="12" t="n">
        <x:v>162372</x:v>
      </x:c>
      <x:c r="F133" s="12" t="n">
        <x:v>57575005</x:v>
      </x:c>
      <x:c r="G133" t="str">
        <x:v>Martin</x:v>
      </x:c>
      <x:c r="H133" t="n">
        <x:v>2024</x:v>
      </x:c>
      <x:c r="I133" s="12" t="n">
        <x:v>20990185</x:v>
      </x:c>
      <x:c r="J133" s="14" t="n">
        <x:v>2.764332721827299</x:v>
      </x:c>
      <x:c r="K133" s="14" t="n">
        <x:v>2.742948906834313</x:v>
      </x:c>
    </x:row>
    <x:row r="134">
      <x:c r="A134" t="n">
        <x:v>45566</x:v>
      </x:c>
      <x:c r="B134" s="12" t="n">
        <x:v>21085431</x:v>
      </x:c>
      <x:c r="C134" s="12" t="n">
        <x:v>58167319</x:v>
      </x:c>
      <x:c r="D134" s="12" t="n">
        <x:v>717840</x:v>
      </x:c>
      <x:c r="E134" s="12" t="n">
        <x:v>115848</x:v>
      </x:c>
      <x:c r="F134" s="12" t="n">
        <x:v>58885159</x:v>
      </x:c>
      <x:c r="G134" t="str">
        <x:v>Martin</x:v>
      </x:c>
      <x:c r="H134" t="n">
        <x:v>2024</x:v>
      </x:c>
      <x:c r="I134" s="12" t="n">
        <x:v>21201279</x:v>
      </x:c>
      <x:c r="J134" s="14" t="n">
        <x:v>2.79269411187279</x:v>
      </x:c>
      <x:c r="K134" s="14" t="n">
        <x:v>2.777434276488697</x:v>
      </x:c>
    </x:row>
    <x:row r="135">
      <x:c r="A135" t="n">
        <x:v>45597</x:v>
      </x:c>
      <x:c r="B135" s="12" t="n">
        <x:v>20177703</x:v>
      </x:c>
      <x:c r="C135" s="12" t="n">
        <x:v>56655105</x:v>
      </x:c>
      <x:c r="D135" s="12" t="n">
        <x:v>565631</x:v>
      </x:c>
      <x:c r="E135" s="12" t="n">
        <x:v>87578</x:v>
      </x:c>
      <x:c r="F135" s="12" t="n">
        <x:v>57220736</x:v>
      </x:c>
      <x:c r="G135" t="str">
        <x:v>Martin</x:v>
      </x:c>
      <x:c r="H135" t="n">
        <x:v>2024</x:v>
      </x:c>
      <x:c r="I135" s="12" t="n">
        <x:v>20265281</x:v>
      </x:c>
      <x:c r="J135" s="14" t="n">
        <x:v>2.835839936785669</x:v>
      </x:c>
      <x:c r="K135" s="14" t="n">
        <x:v>2.8235846322584917</x:v>
      </x:c>
    </x:row>
    <x:row r="136">
      <x:c r="A136" t="n">
        <x:v>45627</x:v>
      </x:c>
      <x:c r="B136" s="12" t="n">
        <x:v>20613562</x:v>
      </x:c>
      <x:c r="C136" s="12" t="n">
        <x:v>58725782</x:v>
      </x:c>
      <x:c r="D136" s="12" t="n">
        <x:v>502529</x:v>
      </x:c>
      <x:c r="E136" s="12" t="n">
        <x:v>73057</x:v>
      </x:c>
      <x:c r="F136" s="12" t="n">
        <x:v>59228311</x:v>
      </x:c>
      <x:c r="G136" t="str">
        <x:v>Martin</x:v>
      </x:c>
      <x:c r="H136" t="n">
        <x:v>2024</x:v>
      </x:c>
      <x:c r="I136" s="12" t="n">
        <x:v>20686619</x:v>
      </x:c>
      <x:c r="J136" s="14" t="n">
        <x:v>2.873269112829699</x:v>
      </x:c>
      <x:c r="K136" s="14" t="n">
        <x:v>2.8631218566939336</x:v>
      </x:c>
    </x:row>
    <x:row r="137">
      <x:c r="A137" t="n">
        <x:v>45658</x:v>
      </x:c>
      <x:c r="B137" s="12" t="n">
        <x:v>20633210</x:v>
      </x:c>
      <x:c r="C137" s="12" t="n">
        <x:v>58181078</x:v>
      </x:c>
      <x:c r="D137" s="12" t="n">
        <x:v>429601</x:v>
      </x:c>
      <x:c r="E137" s="12" t="n">
        <x:v>54880</x:v>
      </x:c>
      <x:c r="F137" s="12" t="n">
        <x:v>58610679</x:v>
      </x:c>
      <x:c r="G137" t="str">
        <x:v>Martin</x:v>
      </x:c>
      <x:c r="H137" t="n">
        <x:v>2025</x:v>
      </x:c>
      <x:c r="I137" s="12" t="n">
        <x:v>20688090</x:v>
      </x:c>
      <x:c r="J137" s="14" t="n">
        <x:v>2.8405991602857723</x:v>
      </x:c>
      <x:c r="K137" s="14" t="n">
        <x:v>2.833063806276945</x:v>
      </x:c>
    </x:row>
    <x:row r="138">
      <x:c r="A138" t="n">
        <x:v>45689</x:v>
      </x:c>
      <x:c r="B138" s="12" t="n">
        <x:v>19420426</x:v>
      </x:c>
      <x:c r="C138" s="12" t="n">
        <x:v>53671888</x:v>
      </x:c>
      <x:c r="D138" s="12" t="n">
        <x:v>380869</x:v>
      </x:c>
      <x:c r="E138" s="12" t="n">
        <x:v>44428</x:v>
      </x:c>
      <x:c r="F138" s="12" t="n">
        <x:v>54052757</x:v>
      </x:c>
      <x:c r="G138" t="str">
        <x:v>Martin</x:v>
      </x:c>
      <x:c r="H138" t="n">
        <x:v>2025</x:v>
      </x:c>
      <x:c r="I138" s="12" t="n">
        <x:v>19464854</x:v>
      </x:c>
      <x:c r="J138" s="14" t="n">
        <x:v>2.783294094578564</x:v>
      </x:c>
      <x:c r="K138" s="14" t="n">
        <x:v>2.776941301486258</x:v>
      </x:c>
    </x:row>
    <x:row r="139">
      <x:c r="A139" t="n">
        <x:v>45717</x:v>
      </x:c>
      <x:c r="B139" s="12" t="n">
        <x:v>21795103</x:v>
      </x:c>
      <x:c r="C139" s="12" t="n">
        <x:v>60482109</x:v>
      </x:c>
      <x:c r="D139" s="12" t="n">
        <x:v>438095</x:v>
      </x:c>
      <x:c r="E139" s="12" t="n">
        <x:v>41993</x:v>
      </x:c>
      <x:c r="F139" s="12" t="n">
        <x:v>60920204</x:v>
      </x:c>
      <x:c r="G139" t="str">
        <x:v>Martin</x:v>
      </x:c>
      <x:c r="H139" t="n">
        <x:v>2025</x:v>
      </x:c>
      <x:c r="I139" s="12" t="n">
        <x:v>21837096</x:v>
      </x:c>
      <x:c r="J139" s="14" t="n">
        <x:v>2.7951326497516438</x:v>
      </x:c>
      <x:c r="K139" s="14" t="n">
        <x:v>2.7897575758241846</x:v>
      </x:c>
    </x:row>
    <x:row r="140">
      <x:c r="A140" t="n">
        <x:v>45748</x:v>
      </x:c>
      <x:c r="B140" s="12" t="n">
        <x:v>21805441</x:v>
      </x:c>
      <x:c r="C140" s="12" t="n">
        <x:v>60402618</x:v>
      </x:c>
      <x:c r="D140" s="12" t="n">
        <x:v>369585</x:v>
      </x:c>
      <x:c r="E140" s="12" t="n">
        <x:v>37486</x:v>
      </x:c>
      <x:c r="F140" s="12" t="n">
        <x:v>60772203</x:v>
      </x:c>
      <x:c r="G140" t="str">
        <x:v>Martin</x:v>
      </x:c>
      <x:c r="H140" t="n">
        <x:v>2025</x:v>
      </x:c>
      <x:c r="I140" s="12" t="n">
        <x:v>21842927</x:v>
      </x:c>
      <x:c r="J140" s="14" t="n">
        <x:v>2.7870201295172157</x:v>
      </x:c>
      <x:c r="K140" s="14" t="n">
        <x:v>2.7822371516418105</x:v>
      </x:c>
    </x:row>
    <x:row r="141">
      <x:c r="A141" t="n">
        <x:v>45778</x:v>
      </x:c>
      <x:c r="B141" s="12" t="n">
        <x:v>21995936</x:v>
      </x:c>
      <x:c r="C141" s="12" t="n">
        <x:v>64082152</x:v>
      </x:c>
      <x:c r="D141" s="12" t="n">
        <x:v>367142</x:v>
      </x:c>
      <x:c r="E141" s="12" t="n">
        <x:v>36168</x:v>
      </x:c>
      <x:c r="F141" s="12" t="n">
        <x:v>64449294</x:v>
      </x:c>
      <x:c r="G141" t="str">
        <x:v>Martin</x:v>
      </x:c>
      <x:c r="H141" t="n">
        <x:v>2025</x:v>
      </x:c>
      <x:c r="I141" s="12" t="n">
        <x:v>22032104</x:v>
      </x:c>
      <x:c r="J141" s="14" t="n">
        <x:v>2.9300546246361145</x:v>
      </x:c>
      <x:c r="K141" s="14" t="n">
        <x:v>2.9252446339214813</x:v>
      </x:c>
    </x:row>
    <x:row r="142">
      <x:c r="A142" t="n">
        <x:v>45809</x:v>
      </x:c>
      <x:c r="B142" s="12" t="n">
        <x:v>21327817</x:v>
      </x:c>
      <x:c r="C142" s="12" t="n">
        <x:v>62550998</x:v>
      </x:c>
      <x:c r="D142" s="12" t="n">
        <x:v>341710</x:v>
      </x:c>
      <x:c r="E142" s="12" t="n">
        <x:v>36050</x:v>
      </x:c>
      <x:c r="F142" s="12" t="n">
        <x:v>62892708</x:v>
      </x:c>
      <x:c r="G142" t="str">
        <x:v>Martin</x:v>
      </x:c>
      <x:c r="H142" t="n">
        <x:v>2025</x:v>
      </x:c>
      <x:c r="I142" s="12" t="n">
        <x:v>21363867</x:v>
      </x:c>
      <x:c r="J142" s="14" t="n">
        <x:v>2.9488581977236583</x:v>
      </x:c>
      <x:c r="K142" s="14" t="n">
        <x:v>2.9438822100886513</x:v>
      </x:c>
    </x:row>
    <x:row r="143">
      <x:c r="A143" t="n">
        <x:v>45839</x:v>
      </x:c>
      <x:c r="B143" s="12" t="n">
        <x:v>21352272</x:v>
      </x:c>
      <x:c r="C143" s="12" t="n">
        <x:v>63753084</x:v>
      </x:c>
      <x:c r="D143" s="12" t="n">
        <x:v>334742</x:v>
      </x:c>
      <x:c r="E143" s="12" t="n">
        <x:v>34304</x:v>
      </x:c>
      <x:c r="F143" s="12" t="n">
        <x:v>64087826</x:v>
      </x:c>
      <x:c r="G143" t="str">
        <x:v>Martin</x:v>
      </x:c>
      <x:c r="H143" t="n">
        <x:v>2025</x:v>
      </x:c>
      <x:c r="I143" s="12" t="n">
        <x:v>21386576</x:v>
      </x:c>
      <x:c r="J143" s="14" t="n">
        <x:v>3.0014523044667096</x:v>
      </x:c>
      <x:c r="K143" s="14" t="n">
        <x:v>2.996637984500184</x:v>
      </x:c>
    </x:row>
    <x:row r="144">
      <x:c r="A144" t="n">
        <x:v>45870</x:v>
      </x:c>
      <x:c r="B144" s="12" t="n">
        <x:v>21410305</x:v>
      </x:c>
      <x:c r="C144" s="12" t="n">
        <x:v>63925298</x:v>
      </x:c>
      <x:c r="D144" s="12" t="n">
        <x:v>317131</x:v>
      </x:c>
      <x:c r="E144" s="12" t="n">
        <x:v>31715</x:v>
      </x:c>
      <x:c r="F144" s="12" t="n">
        <x:v>64242429</x:v>
      </x:c>
      <x:c r="G144" t="str">
        <x:v>Martin</x:v>
      </x:c>
      <x:c r="H144" t="n">
        <x:v>2025</x:v>
      </x:c>
      <x:c r="I144" s="12" t="n">
        <x:v>21442020</x:v>
      </x:c>
      <x:c r="J144" s="14" t="n">
        <x:v>3.0005377784202514</x:v>
      </x:c>
      <x:c r="K144" s="14" t="n">
        <x:v>2.9960996678484584</x:v>
      </x:c>
    </x:row>
    <x:row r="145">
      <x:c r="A145" t="n">
        <x:v>45901</x:v>
      </x:c>
      <x:c r="B145" s="12" t="n">
        <x:v>21239134</x:v>
      </x:c>
      <x:c r="C145" s="12" t="n">
        <x:v>62642188</x:v>
      </x:c>
      <x:c r="D145" s="12" t="n">
        <x:v>280739</x:v>
      </x:c>
      <x:c r="E145" s="12" t="n">
        <x:v>26781</x:v>
      </x:c>
      <x:c r="F145" s="12" t="n">
        <x:v>62922927</x:v>
      </x:c>
      <x:c r="G145" t="str">
        <x:v>Martin</x:v>
      </x:c>
      <x:c r="H145" t="n">
        <x:v>2025</x:v>
      </x:c>
      <x:c r="I145" s="12" t="n">
        <x:v>21265915</x:v>
      </x:c>
      <x:c r="J145" s="14" t="n">
        <x:v>2.962593813853239</x:v>
      </x:c>
      <x:c r="K145" s="14" t="n">
        <x:v>2.9588629033831837</x:v>
      </x:c>
    </x:row>
    <x:row r="146">
      <x:c r="A146" t="n">
        <x:v>45931</x:v>
      </x:c>
      <x:c r="B146" s="12" t="n">
        <x:v>22308301</x:v>
      </x:c>
      <x:c r="C146" s="12" t="n">
        <x:v>64518813</x:v>
      </x:c>
      <x:c r="D146" s="12" t="n">
        <x:v>275353</x:v>
      </x:c>
      <x:c r="E146" s="12" t="n">
        <x:v>25193</x:v>
      </x:c>
      <x:c r="F146" s="12" t="n">
        <x:v>64794166</x:v>
      </x:c>
      <x:c r="G146" t="str">
        <x:v>Martin</x:v>
      </x:c>
      <x:c r="H146" t="n">
        <x:v>2025</x:v>
      </x:c>
      <x:c r="I146" s="12" t="n">
        <x:v>22333494</x:v>
      </x:c>
      <x:c r="J146" s="14" t="n">
        <x:v>2.9044868096409493</x:v>
      </x:c>
      <x:c r="K146" s="14" t="n">
        <x:v>2.9012104420383125</x:v>
      </x:c>
    </x:row>
    <x:row r="147">
      <x:c r="A147" t="n">
        <x:v>45962</x:v>
      </x:c>
      <x:c r="B147" s="12" t="n">
        <x:v>22225681</x:v>
      </x:c>
      <x:c r="C147" s="12" t="n">
        <x:v>64572206</x:v>
      </x:c>
      <x:c r="D147" s="12" t="n">
        <x:v>248234</x:v>
      </x:c>
      <x:c r="E147" s="12" t="n">
        <x:v>23276</x:v>
      </x:c>
      <x:c r="F147" s="12" t="n">
        <x:v>64820440</x:v>
      </x:c>
      <x:c r="G147" t="str">
        <x:v>Martin</x:v>
      </x:c>
      <x:c r="H147" t="n">
        <x:v>2025</x:v>
      </x:c>
      <x:c r="I147" s="12" t="n">
        <x:v>22248957</x:v>
      </x:c>
      <x:c r="J147" s="14" t="n">
        <x:v>2.916465866670182</x:v>
      </x:c>
      <x:c r="K147" s="14" t="n">
        <x:v>2.913414772656534</x:v>
      </x:c>
    </x:row>
    <x:row r="148">
      <x:c r="A148" t="n">
        <x:v>45992</x:v>
      </x:c>
      <x:c r="B148" s="12" t="n">
        <x:v>22813668</x:v>
      </x:c>
      <x:c r="C148" s="12" t="n">
        <x:v>66920503</x:v>
      </x:c>
      <x:c r="D148" s="12" t="n">
        <x:v>243310</x:v>
      </x:c>
      <x:c r="E148" s="12" t="n">
        <x:v>23740</x:v>
      </x:c>
      <x:c r="F148" s="12" t="n">
        <x:v>67163813</x:v>
      </x:c>
      <x:c r="G148" t="str">
        <x:v>Martin</x:v>
      </x:c>
      <x:c r="H148" t="n">
        <x:v>2025</x:v>
      </x:c>
      <x:c r="I148" s="12" t="n">
        <x:v>22837408</x:v>
      </x:c>
      <x:c r="J148" s="14" t="n">
        <x:v>2.944016411565207</x:v>
      </x:c>
      <x:c r="K148" s="14" t="n">
        <x:v>2.9409560401951045</x:v>
      </x:c>
    </x:row>
    <x:row r="149">
      <x:c r="A149" t="n">
        <x:v>46023</x:v>
      </x:c>
      <x:c r="B149" s="12" t="n">
        <x:v>21592214</x:v>
      </x:c>
      <x:c r="C149" s="12" t="n">
        <x:v>63076213</x:v>
      </x:c>
      <x:c r="D149" s="12" t="n">
        <x:v>223224</x:v>
      </x:c>
      <x:c r="E149" s="12" t="n">
        <x:v>23725</x:v>
      </x:c>
      <x:c r="F149" s="12" t="n">
        <x:v>63299437</x:v>
      </x:c>
      <x:c r="G149" t="str">
        <x:v>Martin</x:v>
      </x:c>
      <x:c r="H149" t="n">
        <x:v>2026</x:v>
      </x:c>
      <x:c r="I149" s="12" t="n">
        <x:v>21615939</x:v>
      </x:c>
      <x:c r="J149" s="14" t="n">
        <x:v>2.931586218995421</x:v>
      </x:c>
      <x:c r="K149" s="14" t="n">
        <x:v>2.928368598745583</x:v>
      </x:c>
    </x:row>
    <x:row r="150">
      <x:c r="A150" t="n">
        <x:v>46054</x:v>
      </x:c>
      <x:c r="B150" s="12" t="n">
        <x:v>20424190</x:v>
      </x:c>
      <x:c r="C150" s="12" t="n">
        <x:v>60524343</x:v>
      </x:c>
      <x:c r="D150" s="12" t="n">
        <x:v>185847</x:v>
      </x:c>
      <x:c r="E150" s="12" t="n">
        <x:v>19777</x:v>
      </x:c>
      <x:c r="F150" s="12" t="n">
        <x:v>60710190</x:v>
      </x:c>
      <x:c r="G150" t="str">
        <x:v>Martin</x:v>
      </x:c>
      <x:c r="H150" t="n">
        <x:v>2026</x:v>
      </x:c>
      <x:c r="I150" s="12" t="n">
        <x:v>20443967</x:v>
      </x:c>
      <x:c r="J150" s="14" t="n">
        <x:v>2.972465003508095</x:v>
      </x:c>
      <x:c r="K150" s="14" t="n">
        <x:v>2.9695895126420426</x:v>
      </x:c>
    </x:row>
    <x:row r="151">
      <x:c r="A151" t="n">
        <x:v>46082</x:v>
      </x:c>
      <x:c r="B151" s="12" t="n">
        <x:v>21970778</x:v>
      </x:c>
      <x:c r="C151" s="12" t="n">
        <x:v>69282073</x:v>
      </x:c>
      <x:c r="D151" s="12" t="n">
        <x:v>210994</x:v>
      </x:c>
      <x:c r="E151" s="12" t="n">
        <x:v>20824</x:v>
      </x:c>
      <x:c r="F151" s="12" t="n">
        <x:v>69493067</x:v>
      </x:c>
      <x:c r="G151" t="str">
        <x:v>Martin</x:v>
      </x:c>
      <x:c r="H151" t="n">
        <x:v>2026</x:v>
      </x:c>
      <x:c r="I151" s="12" t="n">
        <x:v>21991602</x:v>
      </x:c>
      <x:c r="J151" s="14" t="n">
        <x:v>3.162977068904888</x:v>
      </x:c>
      <x:c r="K151" s="14" t="n">
        <x:v>3.1599820240471796</x:v>
      </x:c>
    </x:row>
    <x:row r="152">
      <x:c r="A152" t="n">
        <x:v>43831</x:v>
      </x:c>
      <x:c r="B152" s="12" t="n">
        <x:v>9309200</x:v>
      </x:c>
      <x:c r="C152" s="12" t="n">
        <x:v>14903625</x:v>
      </x:c>
      <x:c r="D152" s="12" t="n">
        <x:v>13723</x:v>
      </x:c>
      <x:c r="E152" s="12" t="n">
        <x:v>237</x:v>
      </x:c>
      <x:c r="F152" s="12" t="n">
        <x:v>14917348</x:v>
      </x:c>
      <x:c r="G152" t="str">
        <x:v>Howard</x:v>
      </x:c>
      <x:c r="H152" t="n">
        <x:v>2020</x:v>
      </x:c>
      <x:c r="I152" s="12" t="n">
        <x:v>9309437</x:v>
      </x:c>
      <x:c r="J152" s="14" t="n">
        <x:v>1.6024307137025737</x:v>
      </x:c>
      <x:c r="K152" s="14" t="n">
        <x:v>1.6023899189607278</x:v>
      </x:c>
    </x:row>
    <x:row r="153">
      <x:c r="A153" t="n">
        <x:v>43862</x:v>
      </x:c>
      <x:c r="B153" s="12" t="n">
        <x:v>8038069</x:v>
      </x:c>
      <x:c r="C153" s="12" t="n">
        <x:v>13677915</x:v>
      </x:c>
      <x:c r="D153" s="12" t="n">
        <x:v>13032</x:v>
      </x:c>
      <x:c r="E153" s="12" t="n">
        <x:v>189</x:v>
      </x:c>
      <x:c r="F153" s="12" t="n">
        <x:v>13690947</x:v>
      </x:c>
      <x:c r="G153" t="str">
        <x:v>Howard</x:v>
      </x:c>
      <x:c r="H153" t="n">
        <x:v>2020</x:v>
      </x:c>
      <x:c r="I153" s="12" t="n">
        <x:v>8038258</x:v>
      </x:c>
      <x:c r="J153" s="14" t="n">
        <x:v>1.7032631842299437</x:v>
      </x:c>
      <x:c r="K153" s="14" t="n">
        <x:v>1.7032231361571126</x:v>
      </x:c>
    </x:row>
    <x:row r="154">
      <x:c r="A154" t="n">
        <x:v>43891</x:v>
      </x:c>
      <x:c r="B154" s="12" t="n">
        <x:v>8426320</x:v>
      </x:c>
      <x:c r="C154" s="12" t="n">
        <x:v>14945054</x:v>
      </x:c>
      <x:c r="D154" s="12" t="n">
        <x:v>13331</x:v>
      </x:c>
      <x:c r="E154" s="12" t="n">
        <x:v>200</x:v>
      </x:c>
      <x:c r="F154" s="12" t="n">
        <x:v>14958385</x:v>
      </x:c>
      <x:c r="G154" t="str">
        <x:v>Howard</x:v>
      </x:c>
      <x:c r="H154" t="n">
        <x:v>2020</x:v>
      </x:c>
      <x:c r="I154" s="12" t="n">
        <x:v>8426520</x:v>
      </x:c>
      <x:c r="J154" s="14" t="n">
        <x:v>1.7751978325057676</x:v>
      </x:c>
      <x:c r="K154" s="14" t="n">
        <x:v>1.775155698912481</x:v>
      </x:c>
    </x:row>
    <x:row r="155">
      <x:c r="A155" t="n">
        <x:v>43922</x:v>
      </x:c>
      <x:c r="B155" s="12" t="n">
        <x:v>7878740</x:v>
      </x:c>
      <x:c r="C155" s="12" t="n">
        <x:v>14865136</x:v>
      </x:c>
      <x:c r="D155" s="12" t="n">
        <x:v>12942</x:v>
      </x:c>
      <x:c r="E155" s="12" t="n">
        <x:v>221</x:v>
      </x:c>
      <x:c r="F155" s="12" t="n">
        <x:v>14878078</x:v>
      </x:c>
      <x:c r="G155" t="str">
        <x:v>Howard</x:v>
      </x:c>
      <x:c r="H155" t="n">
        <x:v>2020</x:v>
      </x:c>
      <x:c r="I155" s="12" t="n">
        <x:v>7878961</x:v>
      </x:c>
      <x:c r="J155" s="14" t="n">
        <x:v>1.8883829140192467</x:v>
      </x:c>
      <x:c r="K155" s="14" t="n">
        <x:v>1.888329946042378</x:v>
      </x:c>
    </x:row>
    <x:row r="156">
      <x:c r="A156" t="n">
        <x:v>43952</x:v>
      </x:c>
      <x:c r="B156" s="12" t="n">
        <x:v>6701646</x:v>
      </x:c>
      <x:c r="C156" s="12" t="n">
        <x:v>13582944</x:v>
      </x:c>
      <x:c r="D156" s="12" t="n">
        <x:v>13614</x:v>
      </x:c>
      <x:c r="E156" s="12" t="n">
        <x:v>142</x:v>
      </x:c>
      <x:c r="F156" s="12" t="n">
        <x:v>13596558</x:v>
      </x:c>
      <x:c r="G156" t="str">
        <x:v>Howard</x:v>
      </x:c>
      <x:c r="H156" t="n">
        <x:v>2020</x:v>
      </x:c>
      <x:c r="I156" s="12" t="n">
        <x:v>6701788</x:v>
      </x:c>
      <x:c r="J156" s="14" t="n">
        <x:v>2.02883858681882</x:v>
      </x:c>
      <x:c r="K156" s="14" t="n">
        <x:v>2.0287955990252153</x:v>
      </x:c>
    </x:row>
    <x:row r="157">
      <x:c r="A157" t="n">
        <x:v>43983</x:v>
      </x:c>
      <x:c r="B157" s="12" t="n">
        <x:v>7767714</x:v>
      </x:c>
      <x:c r="C157" s="12" t="n">
        <x:v>14688301</x:v>
      </x:c>
      <x:c r="D157" s="12" t="n">
        <x:v>12627</x:v>
      </x:c>
      <x:c r="E157" s="12" t="n">
        <x:v>150</x:v>
      </x:c>
      <x:c r="F157" s="12" t="n">
        <x:v>14700928</x:v>
      </x:c>
      <x:c r="G157" t="str">
        <x:v>Howard</x:v>
      </x:c>
      <x:c r="H157" t="n">
        <x:v>2020</x:v>
      </x:c>
      <x:c r="I157" s="12" t="n">
        <x:v>7767864</x:v>
      </x:c>
      <x:c r="J157" s="14" t="n">
        <x:v>1.8925681352325794</x:v>
      </x:c>
      <x:c r="K157" s="14" t="n">
        <x:v>1.8925315891215397</x:v>
      </x:c>
    </x:row>
    <x:row r="158">
      <x:c r="A158" t="n">
        <x:v>44013</x:v>
      </x:c>
      <x:c r="B158" s="12" t="n">
        <x:v>8498911</x:v>
      </x:c>
      <x:c r="C158" s="12" t="n">
        <x:v>16320170</x:v>
      </x:c>
      <x:c r="D158" s="12" t="n">
        <x:v>13232</x:v>
      </x:c>
      <x:c r="E158" s="12" t="n">
        <x:v>168</x:v>
      </x:c>
      <x:c r="F158" s="12" t="n">
        <x:v>16333402</x:v>
      </x:c>
      <x:c r="G158" t="str">
        <x:v>Howard</x:v>
      </x:c>
      <x:c r="H158" t="n">
        <x:v>2020</x:v>
      </x:c>
      <x:c r="I158" s="12" t="n">
        <x:v>8499079</x:v>
      </x:c>
      <x:c r="J158" s="14" t="n">
        <x:v>1.9218229253136079</x:v>
      </x:c>
      <x:c r="K158" s="14" t="n">
        <x:v>1.9217849369325781</x:v>
      </x:c>
    </x:row>
    <x:row r="159">
      <x:c r="A159" t="n">
        <x:v>44044</x:v>
      </x:c>
      <x:c r="B159" s="12" t="n">
        <x:v>8283232</x:v>
      </x:c>
      <x:c r="C159" s="12" t="n">
        <x:v>16910732</x:v>
      </x:c>
      <x:c r="D159" s="12" t="n">
        <x:v>11118</x:v>
      </x:c>
      <x:c r="E159" s="12" t="n">
        <x:v>188</x:v>
      </x:c>
      <x:c r="F159" s="12" t="n">
        <x:v>16921850</x:v>
      </x:c>
      <x:c r="G159" t="str">
        <x:v>Howard</x:v>
      </x:c>
      <x:c r="H159" t="n">
        <x:v>2020</x:v>
      </x:c>
      <x:c r="I159" s="12" t="n">
        <x:v>8283420</x:v>
      </x:c>
      <x:c r="J159" s="14" t="n">
        <x:v>2.0429042673198095</x:v>
      </x:c>
      <x:c r="K159" s="14" t="n">
        <x:v>2.0428579016879502</x:v>
      </x:c>
    </x:row>
    <x:row r="160">
      <x:c r="A160" t="n">
        <x:v>44075</x:v>
      </x:c>
      <x:c r="B160" s="12" t="n">
        <x:v>7989757</x:v>
      </x:c>
      <x:c r="C160" s="12" t="n">
        <x:v>16729916</x:v>
      </x:c>
      <x:c r="D160" s="12" t="n">
        <x:v>12049</x:v>
      </x:c>
      <x:c r="E160" s="12" t="n">
        <x:v>171</x:v>
      </x:c>
      <x:c r="F160" s="12" t="n">
        <x:v>16741965</x:v>
      </x:c>
      <x:c r="G160" t="str">
        <x:v>Howard</x:v>
      </x:c>
      <x:c r="H160" t="n">
        <x:v>2020</x:v>
      </x:c>
      <x:c r="I160" s="12" t="n">
        <x:v>7989928</x:v>
      </x:c>
      <x:c r="J160" s="14" t="n">
        <x:v>2.0954285593416673</x:v>
      </x:c>
      <x:c r="K160" s="14" t="n">
        <x:v>2.0953837130947863</x:v>
      </x:c>
    </x:row>
    <x:row r="161">
      <x:c r="A161" t="n">
        <x:v>44105</x:v>
      </x:c>
      <x:c r="B161" s="12" t="n">
        <x:v>7941869</x:v>
      </x:c>
      <x:c r="C161" s="12" t="n">
        <x:v>17112061</x:v>
      </x:c>
      <x:c r="D161" s="12" t="n">
        <x:v>12962</x:v>
      </x:c>
      <x:c r="E161" s="12" t="n">
        <x:v>223</x:v>
      </x:c>
      <x:c r="F161" s="12" t="n">
        <x:v>17125023</x:v>
      </x:c>
      <x:c r="G161" t="str">
        <x:v>Howard</x:v>
      </x:c>
      <x:c r="H161" t="n">
        <x:v>2020</x:v>
      </x:c>
      <x:c r="I161" s="12" t="n">
        <x:v>7942092</x:v>
      </x:c>
      <x:c r="J161" s="14" t="n">
        <x:v>2.1562963327649953</x:v>
      </x:c>
      <x:c r="K161" s="14" t="n">
        <x:v>2.1562357877496257</x:v>
      </x:c>
    </x:row>
    <x:row r="162">
      <x:c r="A162" t="n">
        <x:v>44136</x:v>
      </x:c>
      <x:c r="B162" s="12" t="n">
        <x:v>7610778</x:v>
      </x:c>
      <x:c r="C162" s="12" t="n">
        <x:v>16382470</x:v>
      </x:c>
      <x:c r="D162" s="12" t="n">
        <x:v>12686</x:v>
      </x:c>
      <x:c r="E162" s="12" t="n">
        <x:v>261</x:v>
      </x:c>
      <x:c r="F162" s="12" t="n">
        <x:v>16395156</x:v>
      </x:c>
      <x:c r="G162" t="str">
        <x:v>Howard</x:v>
      </x:c>
      <x:c r="H162" t="n">
        <x:v>2020</x:v>
      </x:c>
      <x:c r="I162" s="12" t="n">
        <x:v>7611039</x:v>
      </x:c>
      <x:c r="J162" s="14" t="n">
        <x:v>2.154202369324135</x:v>
      </x:c>
      <x:c r="K162" s="14" t="n">
        <x:v>2.1541284967794803</x:v>
      </x:c>
    </x:row>
    <x:row r="163">
      <x:c r="A163" t="n">
        <x:v>44166</x:v>
      </x:c>
      <x:c r="B163" s="12" t="n">
        <x:v>8471095</x:v>
      </x:c>
      <x:c r="C163" s="12" t="n">
        <x:v>17139784</x:v>
      </x:c>
      <x:c r="D163" s="12" t="n">
        <x:v>14768</x:v>
      </x:c>
      <x:c r="E163" s="12" t="n">
        <x:v>231</x:v>
      </x:c>
      <x:c r="F163" s="12" t="n">
        <x:v>17154552</x:v>
      </x:c>
      <x:c r="G163" t="str">
        <x:v>Howard</x:v>
      </x:c>
      <x:c r="H163" t="n">
        <x:v>2020</x:v>
      </x:c>
      <x:c r="I163" s="12" t="n">
        <x:v>8471326</x:v>
      </x:c>
      <x:c r="J163" s="14" t="n">
        <x:v>2.025069014100302</x:v>
      </x:c>
      <x:c r="K163" s="14" t="n">
        <x:v>2.025013793590283</x:v>
      </x:c>
    </x:row>
    <x:row r="164">
      <x:c r="A164" t="n">
        <x:v>44197</x:v>
      </x:c>
      <x:c r="B164" s="12" t="n">
        <x:v>9386355</x:v>
      </x:c>
      <x:c r="C164" s="12" t="n">
        <x:v>17660720</x:v>
      </x:c>
      <x:c r="D164" s="12" t="n">
        <x:v>15419</x:v>
      </x:c>
      <x:c r="E164" s="12" t="n">
        <x:v>179</x:v>
      </x:c>
      <x:c r="F164" s="12" t="n">
        <x:v>17676139</x:v>
      </x:c>
      <x:c r="G164" t="str">
        <x:v>Howard</x:v>
      </x:c>
      <x:c r="H164" t="n">
        <x:v>2021</x:v>
      </x:c>
      <x:c r="I164" s="12" t="n">
        <x:v>9386534</x:v>
      </x:c>
      <x:c r="J164" s="14" t="n">
        <x:v>1.8831739264070024</x:v>
      </x:c>
      <x:c r="K164" s="14" t="n">
        <x:v>1.883138014521654</x:v>
      </x:c>
    </x:row>
    <x:row r="165">
      <x:c r="A165" t="n">
        <x:v>44228</x:v>
      </x:c>
      <x:c r="B165" s="12" t="n">
        <x:v>6229123</x:v>
      </x:c>
      <x:c r="C165" s="12" t="n">
        <x:v>11974327</x:v>
      </x:c>
      <x:c r="D165" s="12" t="n">
        <x:v>14490</x:v>
      </x:c>
      <x:c r="E165" s="12" t="n">
        <x:v>157</x:v>
      </x:c>
      <x:c r="F165" s="12" t="n">
        <x:v>11988817</x:v>
      </x:c>
      <x:c r="G165" t="str">
        <x:v>Howard</x:v>
      </x:c>
      <x:c r="H165" t="n">
        <x:v>2021</x:v>
      </x:c>
      <x:c r="I165" s="12" t="n">
        <x:v>6229280</x:v>
      </x:c>
      <x:c r="J165" s="14" t="n">
        <x:v>1.9246396322564188</x:v>
      </x:c>
      <x:c r="K165" s="14" t="n">
        <x:v>1.9245911244959288</x:v>
      </x:c>
    </x:row>
    <x:row r="166">
      <x:c r="A166" t="n">
        <x:v>44256</x:v>
      </x:c>
      <x:c r="B166" s="12" t="n">
        <x:v>9569434</x:v>
      </x:c>
      <x:c r="C166" s="12" t="n">
        <x:v>18338047</x:v>
      </x:c>
      <x:c r="D166" s="12" t="n">
        <x:v>17187</x:v>
      </x:c>
      <x:c r="E166" s="12" t="n">
        <x:v>212</x:v>
      </x:c>
      <x:c r="F166" s="12" t="n">
        <x:v>18355234</x:v>
      </x:c>
      <x:c r="G166" t="str">
        <x:v>Howard</x:v>
      </x:c>
      <x:c r="H166" t="n">
        <x:v>2021</x:v>
      </x:c>
      <x:c r="I166" s="12" t="n">
        <x:v>9569646</x:v>
      </x:c>
      <x:c r="J166" s="14" t="n">
        <x:v>1.918110726297919</x:v>
      </x:c>
      <x:c r="K166" s="14" t="n">
        <x:v>1.9180682336629797</x:v>
      </x:c>
    </x:row>
    <x:row r="167">
      <x:c r="A167" t="n">
        <x:v>44287</x:v>
      </x:c>
      <x:c r="B167" s="12" t="n">
        <x:v>8865292</x:v>
      </x:c>
      <x:c r="C167" s="12" t="n">
        <x:v>18454513</x:v>
      </x:c>
      <x:c r="D167" s="12" t="n">
        <x:v>15460</x:v>
      </x:c>
      <x:c r="E167" s="12" t="n">
        <x:v>195</x:v>
      </x:c>
      <x:c r="F167" s="12" t="n">
        <x:v>18469973</x:v>
      </x:c>
      <x:c r="G167" t="str">
        <x:v>Howard</x:v>
      </x:c>
      <x:c r="H167" t="n">
        <x:v>2021</x:v>
      </x:c>
      <x:c r="I167" s="12" t="n">
        <x:v>8865487</x:v>
      </x:c>
      <x:c r="J167" s="14" t="n">
        <x:v>2.0834026673909896</x:v>
      </x:c>
      <x:c r="K167" s="14" t="n">
        <x:v>2.083356842100158</x:v>
      </x:c>
    </x:row>
    <x:row r="168">
      <x:c r="A168" t="n">
        <x:v>44317</x:v>
      </x:c>
      <x:c r="B168" s="12" t="n">
        <x:v>9496145</x:v>
      </x:c>
      <x:c r="C168" s="12" t="n">
        <x:v>19524665</x:v>
      </x:c>
      <x:c r="D168" s="12" t="n">
        <x:v>15197</x:v>
      </x:c>
      <x:c r="E168" s="12" t="n">
        <x:v>149</x:v>
      </x:c>
      <x:c r="F168" s="12" t="n">
        <x:v>19539862</x:v>
      </x:c>
      <x:c r="G168" t="str">
        <x:v>Howard</x:v>
      </x:c>
      <x:c r="H168" t="n">
        <x:v>2021</x:v>
      </x:c>
      <x:c r="I168" s="12" t="n">
        <x:v>9496294</x:v>
      </x:c>
      <x:c r="J168" s="14" t="n">
        <x:v>2.057662556753293</x:v>
      </x:c>
      <x:c r="K168" s="14" t="n">
        <x:v>2.0576302713458534</x:v>
      </x:c>
    </x:row>
    <x:row r="169">
      <x:c r="A169" t="n">
        <x:v>44348</x:v>
      </x:c>
      <x:c r="B169" s="12" t="n">
        <x:v>9180565</x:v>
      </x:c>
      <x:c r="C169" s="12" t="n">
        <x:v>19262996</x:v>
      </x:c>
      <x:c r="D169" s="12" t="n">
        <x:v>15484</x:v>
      </x:c>
      <x:c r="E169" s="12" t="n">
        <x:v>100</x:v>
      </x:c>
      <x:c r="F169" s="12" t="n">
        <x:v>19278480</x:v>
      </x:c>
      <x:c r="G169" t="str">
        <x:v>Howard</x:v>
      </x:c>
      <x:c r="H169" t="n">
        <x:v>2021</x:v>
      </x:c>
      <x:c r="I169" s="12" t="n">
        <x:v>9180665</x:v>
      </x:c>
      <x:c r="J169" s="14" t="n">
        <x:v>2.0999230439520877</x:v>
      </x:c>
      <x:c r="K169" s="14" t="n">
        <x:v>2.099900170630341</x:v>
      </x:c>
    </x:row>
    <x:row r="170">
      <x:c r="A170" t="n">
        <x:v>44378</x:v>
      </x:c>
      <x:c r="B170" s="12" t="n">
        <x:v>9632840</x:v>
      </x:c>
      <x:c r="C170" s="12" t="n">
        <x:v>20789760</x:v>
      </x:c>
      <x:c r="D170" s="12" t="n">
        <x:v>16675</x:v>
      </x:c>
      <x:c r="E170" s="12" t="n">
        <x:v>89</x:v>
      </x:c>
      <x:c r="F170" s="12" t="n">
        <x:v>20806435</x:v>
      </x:c>
      <x:c r="G170" t="str">
        <x:v>Howard</x:v>
      </x:c>
      <x:c r="H170" t="n">
        <x:v>2021</x:v>
      </x:c>
      <x:c r="I170" s="12" t="n">
        <x:v>9632929</x:v>
      </x:c>
      <x:c r="J170" s="14" t="n">
        <x:v>2.1599481565145897</x:v>
      </x:c>
      <x:c r="K170" s="14" t="n">
        <x:v>2.159928200446614</x:v>
      </x:c>
    </x:row>
    <x:row r="171">
      <x:c r="A171" t="n">
        <x:v>44409</x:v>
      </x:c>
      <x:c r="B171" s="12" t="n">
        <x:v>10091383</x:v>
      </x:c>
      <x:c r="C171" s="12" t="n">
        <x:v>21131273</x:v>
      </x:c>
      <x:c r="D171" s="12" t="n">
        <x:v>16273</x:v>
      </x:c>
      <x:c r="E171" s="12" t="n">
        <x:v>135</x:v>
      </x:c>
      <x:c r="F171" s="12" t="n">
        <x:v>21147546</x:v>
      </x:c>
      <x:c r="G171" t="str">
        <x:v>Howard</x:v>
      </x:c>
      <x:c r="H171" t="n">
        <x:v>2021</x:v>
      </x:c>
      <x:c r="I171" s="12" t="n">
        <x:v>10091518</x:v>
      </x:c>
      <x:c r="J171" s="14" t="n">
        <x:v>2.0956043388701033</x:v>
      </x:c>
      <x:c r="K171" s="14" t="n">
        <x:v>2.0955763047739695</x:v>
      </x:c>
    </x:row>
    <x:row r="172">
      <x:c r="A172" t="n">
        <x:v>44440</x:v>
      </x:c>
      <x:c r="B172" s="12" t="n">
        <x:v>9459103</x:v>
      </x:c>
      <x:c r="C172" s="12" t="n">
        <x:v>20528227</x:v>
      </x:c>
      <x:c r="D172" s="12" t="n">
        <x:v>14498</x:v>
      </x:c>
      <x:c r="E172" s="12" t="n">
        <x:v>146</x:v>
      </x:c>
      <x:c r="F172" s="12" t="n">
        <x:v>20542725</x:v>
      </x:c>
      <x:c r="G172" t="str">
        <x:v>Howard</x:v>
      </x:c>
      <x:c r="H172" t="n">
        <x:v>2021</x:v>
      </x:c>
      <x:c r="I172" s="12" t="n">
        <x:v>9459249</x:v>
      </x:c>
      <x:c r="J172" s="14" t="n">
        <x:v>2.171741337418569</x:v>
      </x:c>
      <x:c r="K172" s="14" t="n">
        <x:v>2.171707817396497</x:v>
      </x:c>
    </x:row>
    <x:row r="173">
      <x:c r="A173" t="n">
        <x:v>44470</x:v>
      </x:c>
      <x:c r="B173" s="12" t="n">
        <x:v>9671217</x:v>
      </x:c>
      <x:c r="C173" s="12" t="n">
        <x:v>21451452</x:v>
      </x:c>
      <x:c r="D173" s="12" t="n">
        <x:v>15875</x:v>
      </x:c>
      <x:c r="E173" s="12" t="n">
        <x:v>122</x:v>
      </x:c>
      <x:c r="F173" s="12" t="n">
        <x:v>21467327</x:v>
      </x:c>
      <x:c r="G173" t="str">
        <x:v>Howard</x:v>
      </x:c>
      <x:c r="H173" t="n">
        <x:v>2021</x:v>
      </x:c>
      <x:c r="I173" s="12" t="n">
        <x:v>9671339</x:v>
      </x:c>
      <x:c r="J173" s="14" t="n">
        <x:v>2.2197130929850917</x:v>
      </x:c>
      <x:c r="K173" s="14" t="n">
        <x:v>2.219685092209052</x:v>
      </x:c>
    </x:row>
    <x:row r="174">
      <x:c r="A174" t="n">
        <x:v>44501</x:v>
      </x:c>
      <x:c r="B174" s="12" t="n">
        <x:v>9641519</x:v>
      </x:c>
      <x:c r="C174" s="12" t="n">
        <x:v>21064373</x:v>
      </x:c>
      <x:c r="D174" s="12" t="n">
        <x:v>15789</x:v>
      </x:c>
      <x:c r="E174" s="12" t="n">
        <x:v>176</x:v>
      </x:c>
      <x:c r="F174" s="12" t="n">
        <x:v>21080162</x:v>
      </x:c>
      <x:c r="G174" t="str">
        <x:v>Howard</x:v>
      </x:c>
      <x:c r="H174" t="n">
        <x:v>2021</x:v>
      </x:c>
      <x:c r="I174" s="12" t="n">
        <x:v>9641695</x:v>
      </x:c>
      <x:c r="J174" s="14" t="n">
        <x:v>2.186394280818199</x:v>
      </x:c>
      <x:c r="K174" s="14" t="n">
        <x:v>2.186354370263735</x:v>
      </x:c>
    </x:row>
    <x:row r="175">
      <x:c r="A175" t="n">
        <x:v>44531</x:v>
      </x:c>
      <x:c r="B175" s="12" t="n">
        <x:v>10340459</x:v>
      </x:c>
      <x:c r="C175" s="12" t="n">
        <x:v>22512520</x:v>
      </x:c>
      <x:c r="D175" s="12" t="n">
        <x:v>16634</x:v>
      </x:c>
      <x:c r="E175" s="12" t="n">
        <x:v>164</x:v>
      </x:c>
      <x:c r="F175" s="12" t="n">
        <x:v>22529154</x:v>
      </x:c>
      <x:c r="G175" t="str">
        <x:v>Howard</x:v>
      </x:c>
      <x:c r="H175" t="n">
        <x:v>2021</x:v>
      </x:c>
      <x:c r="I175" s="12" t="n">
        <x:v>10340623</x:v>
      </x:c>
      <x:c r="J175" s="14" t="n">
        <x:v>2.178738293919061</x:v>
      </x:c>
      <x:c r="K175" s="14" t="n">
        <x:v>2.178703739610273</x:v>
      </x:c>
    </x:row>
    <x:row r="176">
      <x:c r="A176" t="n">
        <x:v>44562</x:v>
      </x:c>
      <x:c r="B176" s="12" t="n">
        <x:v>9642337</x:v>
      </x:c>
      <x:c r="C176" s="12" t="n">
        <x:v>21994305</x:v>
      </x:c>
      <x:c r="D176" s="12" t="n">
        <x:v>16523</x:v>
      </x:c>
      <x:c r="E176" s="12" t="n">
        <x:v>154</x:v>
      </x:c>
      <x:c r="F176" s="12" t="n">
        <x:v>22010828</x:v>
      </x:c>
      <x:c r="G176" t="str">
        <x:v>Howard</x:v>
      </x:c>
      <x:c r="H176" t="n">
        <x:v>2022</x:v>
      </x:c>
      <x:c r="I176" s="12" t="n">
        <x:v>9642491</x:v>
      </x:c>
      <x:c r="J176" s="14" t="n">
        <x:v>2.282727517198372</x:v>
      </x:c>
      <x:c r="K176" s="14" t="n">
        <x:v>2.2826910598101673</x:v>
      </x:c>
    </x:row>
    <x:row r="177">
      <x:c r="A177" t="n">
        <x:v>44593</x:v>
      </x:c>
      <x:c r="B177" s="12" t="n">
        <x:v>8675806</x:v>
      </x:c>
      <x:c r="C177" s="12" t="n">
        <x:v>20229872</x:v>
      </x:c>
      <x:c r="D177" s="12" t="n">
        <x:v>14799</x:v>
      </x:c>
      <x:c r="E177" s="12" t="n">
        <x:v>177</x:v>
      </x:c>
      <x:c r="F177" s="12" t="n">
        <x:v>20244671</x:v>
      </x:c>
      <x:c r="G177" t="str">
        <x:v>Howard</x:v>
      </x:c>
      <x:c r="H177" t="n">
        <x:v>2022</x:v>
      </x:c>
      <x:c r="I177" s="12" t="n">
        <x:v>8675983</x:v>
      </x:c>
      <x:c r="J177" s="14" t="n">
        <x:v>2.3334628505985497</x:v>
      </x:c>
      <x:c r="K177" s="14" t="n">
        <x:v>2.33341524528114</x:v>
      </x:c>
    </x:row>
    <x:row r="178">
      <x:c r="A178" t="n">
        <x:v>44621</x:v>
      </x:c>
      <x:c r="B178" s="12" t="n">
        <x:v>10088793</x:v>
      </x:c>
      <x:c r="C178" s="12" t="n">
        <x:v>22782841</x:v>
      </x:c>
      <x:c r="D178" s="12" t="n">
        <x:v>12634</x:v>
      </x:c>
      <x:c r="E178" s="12" t="n">
        <x:v>180</x:v>
      </x:c>
      <x:c r="F178" s="12" t="n">
        <x:v>22795475</x:v>
      </x:c>
      <x:c r="G178" t="str">
        <x:v>Howard</x:v>
      </x:c>
      <x:c r="H178" t="n">
        <x:v>2022</x:v>
      </x:c>
      <x:c r="I178" s="12" t="n">
        <x:v>10088973</x:v>
      </x:c>
      <x:c r="J178" s="14" t="n">
        <x:v>2.2594848561170795</x:v>
      </x:c>
      <x:c r="K178" s="14" t="n">
        <x:v>2.259444544058151</x:v>
      </x:c>
    </x:row>
    <x:row r="179">
      <x:c r="A179" t="n">
        <x:v>44652</x:v>
      </x:c>
      <x:c r="B179" s="12" t="n">
        <x:v>10441394</x:v>
      </x:c>
      <x:c r="C179" s="12" t="n">
        <x:v>23529929</x:v>
      </x:c>
      <x:c r="D179" s="12" t="n">
        <x:v>15205</x:v>
      </x:c>
      <x:c r="E179" s="12" t="n">
        <x:v>173</x:v>
      </x:c>
      <x:c r="F179" s="12" t="n">
        <x:v>23545134</x:v>
      </x:c>
      <x:c r="G179" t="str">
        <x:v>Howard</x:v>
      </x:c>
      <x:c r="H179" t="n">
        <x:v>2022</x:v>
      </x:c>
      <x:c r="I179" s="12" t="n">
        <x:v>10441567</x:v>
      </x:c>
      <x:c r="J179" s="14" t="n">
        <x:v>2.2549799385024643</x:v>
      </x:c>
      <x:c r="K179" s="14" t="n">
        <x:v>2.2549425771055245</x:v>
      </x:c>
    </x:row>
    <x:row r="180">
      <x:c r="A180" t="n">
        <x:v>44682</x:v>
      </x:c>
      <x:c r="B180" s="12" t="n">
        <x:v>10595780</x:v>
      </x:c>
      <x:c r="C180" s="12" t="n">
        <x:v>24269002</x:v>
      </x:c>
      <x:c r="D180" s="12" t="n">
        <x:v>14145</x:v>
      </x:c>
      <x:c r="E180" s="12" t="n">
        <x:v>150</x:v>
      </x:c>
      <x:c r="F180" s="12" t="n">
        <x:v>24283147</x:v>
      </x:c>
      <x:c r="G180" t="str">
        <x:v>Howard</x:v>
      </x:c>
      <x:c r="H180" t="n">
        <x:v>2022</x:v>
      </x:c>
      <x:c r="I180" s="12" t="n">
        <x:v>10595930</x:v>
      </x:c>
      <x:c r="J180" s="14" t="n">
        <x:v>2.2917753105481617</x:v>
      </x:c>
      <x:c r="K180" s="14" t="n">
        <x:v>2.2917428673084856</x:v>
      </x:c>
    </x:row>
    <x:row r="181">
      <x:c r="A181" t="n">
        <x:v>44713</x:v>
      </x:c>
      <x:c r="B181" s="12" t="n">
        <x:v>9795925</x:v>
      </x:c>
      <x:c r="C181" s="12" t="n">
        <x:v>23482962</x:v>
      </x:c>
      <x:c r="D181" s="12" t="n">
        <x:v>11778</x:v>
      </x:c>
      <x:c r="E181" s="12" t="n">
        <x:v>160</x:v>
      </x:c>
      <x:c r="F181" s="12" t="n">
        <x:v>23494740</x:v>
      </x:c>
      <x:c r="G181" t="str">
        <x:v>Howard</x:v>
      </x:c>
      <x:c r="H181" t="n">
        <x:v>2022</x:v>
      </x:c>
      <x:c r="I181" s="12" t="n">
        <x:v>9796085</x:v>
      </x:c>
      <x:c r="J181" s="14" t="n">
        <x:v>2.39841975106996</x:v>
      </x:c>
      <x:c r="K181" s="14" t="n">
        <x:v>2.3983805775470506</x:v>
      </x:c>
    </x:row>
    <x:row r="182">
      <x:c r="A182" t="n">
        <x:v>44743</x:v>
      </x:c>
      <x:c r="B182" s="12" t="n">
        <x:v>10657401</x:v>
      </x:c>
      <x:c r="C182" s="12" t="n">
        <x:v>25250136</x:v>
      </x:c>
      <x:c r="D182" s="12" t="n">
        <x:v>12919</x:v>
      </x:c>
      <x:c r="E182" s="12" t="n">
        <x:v>116</x:v>
      </x:c>
      <x:c r="F182" s="12" t="n">
        <x:v>25263055</x:v>
      </x:c>
      <x:c r="G182" t="str">
        <x:v>Howard</x:v>
      </x:c>
      <x:c r="H182" t="n">
        <x:v>2022</x:v>
      </x:c>
      <x:c r="I182" s="12" t="n">
        <x:v>10657517</x:v>
      </x:c>
      <x:c r="J182" s="14" t="n">
        <x:v>2.3704705302915787</x:v>
      </x:c>
      <x:c r="K182" s="14" t="n">
        <x:v>2.3704447292929487</x:v>
      </x:c>
    </x:row>
    <x:row r="183">
      <x:c r="A183" t="n">
        <x:v>44774</x:v>
      </x:c>
      <x:c r="B183" s="12" t="n">
        <x:v>10904783</x:v>
      </x:c>
      <x:c r="C183" s="12" t="n">
        <x:v>25571722</x:v>
      </x:c>
      <x:c r="D183" s="12" t="n">
        <x:v>12403</x:v>
      </x:c>
      <x:c r="E183" s="12" t="n">
        <x:v>89</x:v>
      </x:c>
      <x:c r="F183" s="12" t="n">
        <x:v>25584125</x:v>
      </x:c>
      <x:c r="G183" t="str">
        <x:v>Howard</x:v>
      </x:c>
      <x:c r="H183" t="n">
        <x:v>2022</x:v>
      </x:c>
      <x:c r="I183" s="12" t="n">
        <x:v>10904872</x:v>
      </x:c>
      <x:c r="J183" s="14" t="n">
        <x:v>2.346137928650208</x:v>
      </x:c>
      <x:c r="K183" s="14" t="n">
        <x:v>2.346118780669778</x:v>
      </x:c>
    </x:row>
    <x:row r="184">
      <x:c r="A184" t="n">
        <x:v>44805</x:v>
      </x:c>
      <x:c r="B184" s="12" t="n">
        <x:v>11354144</x:v>
      </x:c>
      <x:c r="C184" s="12" t="n">
        <x:v>25500325</x:v>
      </x:c>
      <x:c r="D184" s="12" t="n">
        <x:v>9943</x:v>
      </x:c>
      <x:c r="E184" s="12" t="n">
        <x:v>107</x:v>
      </x:c>
      <x:c r="F184" s="12" t="n">
        <x:v>25510268</x:v>
      </x:c>
      <x:c r="G184" t="str">
        <x:v>Howard</x:v>
      </x:c>
      <x:c r="H184" t="n">
        <x:v>2022</x:v>
      </x:c>
      <x:c r="I184" s="12" t="n">
        <x:v>11354251</x:v>
      </x:c>
      <x:c r="J184" s="14" t="n">
        <x:v>2.246780382563406</x:v>
      </x:c>
      <x:c r="K184" s="14" t="n">
        <x:v>2.2467592093921476</x:v>
      </x:c>
    </x:row>
    <x:row r="185">
      <x:c r="A185" t="n">
        <x:v>44835</x:v>
      </x:c>
      <x:c r="B185" s="12" t="n">
        <x:v>12300917</x:v>
      </x:c>
      <x:c r="C185" s="12" t="n">
        <x:v>27000155</x:v>
      </x:c>
      <x:c r="D185" s="12" t="n">
        <x:v>7490</x:v>
      </x:c>
      <x:c r="E185" s="12" t="n">
        <x:v>41</x:v>
      </x:c>
      <x:c r="F185" s="12" t="n">
        <x:v>27007645</x:v>
      </x:c>
      <x:c r="G185" t="str">
        <x:v>Howard</x:v>
      </x:c>
      <x:c r="H185" t="n">
        <x:v>2022</x:v>
      </x:c>
      <x:c r="I185" s="12" t="n">
        <x:v>12300958</x:v>
      </x:c>
      <x:c r="J185" s="14" t="n">
        <x:v>2.1955798092125978</x:v>
      </x:c>
      <x:c r="K185" s="14" t="n">
        <x:v>2.195572491183207</x:v>
      </x:c>
    </x:row>
    <x:row r="186">
      <x:c r="A186" t="n">
        <x:v>44866</x:v>
      </x:c>
      <x:c r="B186" s="12" t="n">
        <x:v>12392488</x:v>
      </x:c>
      <x:c r="C186" s="12" t="n">
        <x:v>27515364</x:v>
      </x:c>
      <x:c r="D186" s="12" t="n">
        <x:v>10010</x:v>
      </x:c>
      <x:c r="E186" s="12" t="n">
        <x:v>52</x:v>
      </x:c>
      <x:c r="F186" s="12" t="n">
        <x:v>27525374</x:v>
      </x:c>
      <x:c r="G186" t="str">
        <x:v>Howard</x:v>
      </x:c>
      <x:c r="H186" t="n">
        <x:v>2022</x:v>
      </x:c>
      <x:c r="I186" s="12" t="n">
        <x:v>12392540</x:v>
      </x:c>
      <x:c r="J186" s="14" t="n">
        <x:v>2.221133802994201</x:v>
      </x:c>
      <x:c r="K186" s="14" t="n">
        <x:v>2.221124482955068</x:v>
      </x:c>
    </x:row>
    <x:row r="187">
      <x:c r="A187" t="n">
        <x:v>44896</x:v>
      </x:c>
      <x:c r="B187" s="12" t="n">
        <x:v>12585456</x:v>
      </x:c>
      <x:c r="C187" s="12" t="n">
        <x:v>28776748</x:v>
      </x:c>
      <x:c r="D187" s="12" t="n">
        <x:v>9985</x:v>
      </x:c>
      <x:c r="E187" s="12" t="n">
        <x:v>81</x:v>
      </x:c>
      <x:c r="F187" s="12" t="n">
        <x:v>28786733</x:v>
      </x:c>
      <x:c r="G187" t="str">
        <x:v>Howard</x:v>
      </x:c>
      <x:c r="H187" t="n">
        <x:v>2022</x:v>
      </x:c>
      <x:c r="I187" s="12" t="n">
        <x:v>12585537</x:v>
      </x:c>
      <x:c r="J187" s="14" t="n">
        <x:v>2.2873015487082866</x:v>
      </x:c>
      <x:c r="K187" s="14" t="n">
        <x:v>2.2872868277293215</x:v>
      </x:c>
    </x:row>
    <x:row r="188">
      <x:c r="A188" t="n">
        <x:v>44927</x:v>
      </x:c>
      <x:c r="B188" s="12" t="n">
        <x:v>12092753</x:v>
      </x:c>
      <x:c r="C188" s="12" t="n">
        <x:v>29325391</x:v>
      </x:c>
      <x:c r="D188" s="12" t="n">
        <x:v>8817</x:v>
      </x:c>
      <x:c r="E188" s="12" t="n">
        <x:v>63</x:v>
      </x:c>
      <x:c r="F188" s="12" t="n">
        <x:v>29334208</x:v>
      </x:c>
      <x:c r="G188" t="str">
        <x:v>Howard</x:v>
      </x:c>
      <x:c r="H188" t="n">
        <x:v>2023</x:v>
      </x:c>
      <x:c r="I188" s="12" t="n">
        <x:v>12092816</x:v>
      </x:c>
      <x:c r="J188" s="14" t="n">
        <x:v>2.425767565086296</x:v>
      </x:c>
      <x:c r="K188" s="14" t="n">
        <x:v>2.4257549275536814</x:v>
      </x:c>
    </x:row>
    <x:row r="189">
      <x:c r="A189" t="n">
        <x:v>44958</x:v>
      </x:c>
      <x:c r="B189" s="12" t="n">
        <x:v>10218392</x:v>
      </x:c>
      <x:c r="C189" s="12" t="n">
        <x:v>25882318</x:v>
      </x:c>
      <x:c r="D189" s="12" t="n">
        <x:v>10125</x:v>
      </x:c>
      <x:c r="E189" s="12" t="n">
        <x:v>322</x:v>
      </x:c>
      <x:c r="F189" s="12" t="n">
        <x:v>25892443</x:v>
      </x:c>
      <x:c r="G189" t="str">
        <x:v>Howard</x:v>
      </x:c>
      <x:c r="H189" t="n">
        <x:v>2023</x:v>
      </x:c>
      <x:c r="I189" s="12" t="n">
        <x:v>10218714</x:v>
      </x:c>
      <x:c r="J189" s="14" t="n">
        <x:v>2.533905823930027</x:v>
      </x:c>
      <x:c r="K189" s="14" t="n">
        <x:v>2.533825978493967</x:v>
      </x:c>
    </x:row>
    <x:row r="190">
      <x:c r="A190" t="n">
        <x:v>44986</x:v>
      </x:c>
      <x:c r="B190" s="12" t="n">
        <x:v>11535518</x:v>
      </x:c>
      <x:c r="C190" s="12" t="n">
        <x:v>28714773</x:v>
      </x:c>
      <x:c r="D190" s="12" t="n">
        <x:v>10960</x:v>
      </x:c>
      <x:c r="E190" s="12" t="n">
        <x:v>146</x:v>
      </x:c>
      <x:c r="F190" s="12" t="n">
        <x:v>28725733</x:v>
      </x:c>
      <x:c r="G190" t="str">
        <x:v>Howard</x:v>
      </x:c>
      <x:c r="H190" t="n">
        <x:v>2023</x:v>
      </x:c>
      <x:c r="I190" s="12" t="n">
        <x:v>11535664</x:v>
      </x:c>
      <x:c r="J190" s="14" t="n">
        <x:v>2.490198792980081</x:v>
      </x:c>
      <x:c r="K190" s="14" t="n">
        <x:v>2.4901672760232962</x:v>
      </x:c>
    </x:row>
    <x:row r="191">
      <x:c r="A191" t="n">
        <x:v>45017</x:v>
      </x:c>
      <x:c r="B191" s="12" t="n">
        <x:v>11399888</x:v>
      </x:c>
      <x:c r="C191" s="12" t="n">
        <x:v>28236658</x:v>
      </x:c>
      <x:c r="D191" s="12" t="n">
        <x:v>18435</x:v>
      </x:c>
      <x:c r="E191" s="12" t="n">
        <x:v>187</x:v>
      </x:c>
      <x:c r="F191" s="12" t="n">
        <x:v>28255093</x:v>
      </x:c>
      <x:c r="G191" t="str">
        <x:v>Howard</x:v>
      </x:c>
      <x:c r="H191" t="n">
        <x:v>2023</x:v>
      </x:c>
      <x:c r="I191" s="12" t="n">
        <x:v>11400075</x:v>
      </x:c>
      <x:c r="J191" s="14" t="n">
        <x:v>2.4785412804055618</x:v>
      </x:c>
      <x:c r="K191" s="14" t="n">
        <x:v>2.478500623899404</x:v>
      </x:c>
    </x:row>
    <x:row r="192">
      <x:c r="A192" t="n">
        <x:v>45047</x:v>
      </x:c>
      <x:c r="B192" s="12" t="n">
        <x:v>11774621</x:v>
      </x:c>
      <x:c r="C192" s="12" t="n">
        <x:v>29450436</x:v>
      </x:c>
      <x:c r="D192" s="12" t="n">
        <x:v>15567</x:v>
      </x:c>
      <x:c r="E192" s="12" t="n">
        <x:v>141</x:v>
      </x:c>
      <x:c r="F192" s="12" t="n">
        <x:v>29466003</x:v>
      </x:c>
      <x:c r="G192" t="str">
        <x:v>Howard</x:v>
      </x:c>
      <x:c r="H192" t="n">
        <x:v>2023</x:v>
      </x:c>
      <x:c r="I192" s="12" t="n">
        <x:v>11774762</x:v>
      </x:c>
      <x:c r="J192" s="14" t="n">
        <x:v>2.502501184539188</x:v>
      </x:c>
      <x:c r="K192" s="14" t="n">
        <x:v>2.502471217677266</x:v>
      </x:c>
    </x:row>
    <x:row r="193">
      <x:c r="A193" t="n">
        <x:v>45078</x:v>
      </x:c>
      <x:c r="B193" s="12" t="n">
        <x:v>12333583</x:v>
      </x:c>
      <x:c r="C193" s="12" t="n">
        <x:v>30485579</x:v>
      </x:c>
      <x:c r="D193" s="12" t="n">
        <x:v>11215</x:v>
      </x:c>
      <x:c r="E193" s="12" t="n">
        <x:v>84</x:v>
      </x:c>
      <x:c r="F193" s="12" t="n">
        <x:v>30496794</x:v>
      </x:c>
      <x:c r="G193" t="str">
        <x:v>Howard</x:v>
      </x:c>
      <x:c r="H193" t="n">
        <x:v>2023</x:v>
      </x:c>
      <x:c r="I193" s="12" t="n">
        <x:v>12333667</x:v>
      </x:c>
      <x:c r="J193" s="14" t="n">
        <x:v>2.47266297230902</x:v>
      </x:c>
      <x:c r="K193" s="14" t="n">
        <x:v>2.4726461319249173</x:v>
      </x:c>
    </x:row>
    <x:row r="194">
      <x:c r="A194" t="n">
        <x:v>45108</x:v>
      </x:c>
      <x:c r="B194" s="12" t="n">
        <x:v>13139440</x:v>
      </x:c>
      <x:c r="C194" s="12" t="n">
        <x:v>32667704</x:v>
      </x:c>
      <x:c r="D194" s="12" t="n">
        <x:v>14993</x:v>
      </x:c>
      <x:c r="E194" s="12" t="n">
        <x:v>106</x:v>
      </x:c>
      <x:c r="F194" s="12" t="n">
        <x:v>32682697</x:v>
      </x:c>
      <x:c r="G194" t="str">
        <x:v>Howard</x:v>
      </x:c>
      <x:c r="H194" t="n">
        <x:v>2023</x:v>
      </x:c>
      <x:c r="I194" s="12" t="n">
        <x:v>13139546</x:v>
      </x:c>
      <x:c r="J194" s="14" t="n">
        <x:v>2.487373662804503</x:v>
      </x:c>
      <x:c r="K194" s="14" t="n">
        <x:v>2.4873535965397893</x:v>
      </x:c>
    </x:row>
    <x:row r="195">
      <x:c r="A195" t="n">
        <x:v>45139</x:v>
      </x:c>
      <x:c r="B195" s="12" t="n">
        <x:v>12774249</x:v>
      </x:c>
      <x:c r="C195" s="12" t="n">
        <x:v>33812505</x:v>
      </x:c>
      <x:c r="D195" s="12" t="n">
        <x:v>12789</x:v>
      </x:c>
      <x:c r="E195" s="12" t="n">
        <x:v>158</x:v>
      </x:c>
      <x:c r="F195" s="12" t="n">
        <x:v>33825294</x:v>
      </x:c>
      <x:c r="G195" t="str">
        <x:v>Howard</x:v>
      </x:c>
      <x:c r="H195" t="n">
        <x:v>2023</x:v>
      </x:c>
      <x:c r="I195" s="12" t="n">
        <x:v>12774407</x:v>
      </x:c>
      <x:c r="J195" s="14" t="n">
        <x:v>2.6479281874026412</x:v>
      </x:c>
      <x:c r="K195" s="14" t="n">
        <x:v>2.647895436555294</x:v>
      </x:c>
    </x:row>
    <x:row r="196">
      <x:c r="A196" t="n">
        <x:v>45170</x:v>
      </x:c>
      <x:c r="B196" s="12" t="n">
        <x:v>11845205</x:v>
      </x:c>
      <x:c r="C196" s="12" t="n">
        <x:v>32467217</x:v>
      </x:c>
      <x:c r="D196" s="12" t="n">
        <x:v>13365</x:v>
      </x:c>
      <x:c r="E196" s="12" t="n">
        <x:v>100</x:v>
      </x:c>
      <x:c r="F196" s="12" t="n">
        <x:v>32480582</x:v>
      </x:c>
      <x:c r="G196" t="str">
        <x:v>Howard</x:v>
      </x:c>
      <x:c r="H196" t="n">
        <x:v>2023</x:v>
      </x:c>
      <x:c r="I196" s="12" t="n">
        <x:v>11845305</x:v>
      </x:c>
      <x:c r="J196" s="14" t="n">
        <x:v>2.7420869457303607</x:v>
      </x:c>
      <x:c r="K196" s="14" t="n">
        <x:v>2.742063796584385</x:v>
      </x:c>
    </x:row>
    <x:row r="197">
      <x:c r="A197" t="n">
        <x:v>45200</x:v>
      </x:c>
      <x:c r="B197" s="12" t="n">
        <x:v>11843163</x:v>
      </x:c>
      <x:c r="C197" s="12" t="n">
        <x:v>33045066</x:v>
      </x:c>
      <x:c r="D197" s="12" t="n">
        <x:v>13747</x:v>
      </x:c>
      <x:c r="E197" s="12" t="n">
        <x:v>288</x:v>
      </x:c>
      <x:c r="F197" s="12" t="n">
        <x:v>33058813</x:v>
      </x:c>
      <x:c r="G197" t="str">
        <x:v>Howard</x:v>
      </x:c>
      <x:c r="H197" t="n">
        <x:v>2023</x:v>
      </x:c>
      <x:c r="I197" s="12" t="n">
        <x:v>11843451</x:v>
      </x:c>
      <x:c r="J197" s="14" t="n">
        <x:v>2.7913837713793184</x:v>
      </x:c>
      <x:c r="K197" s="14" t="n">
        <x:v>2.791315892639738</x:v>
      </x:c>
    </x:row>
    <x:row r="198">
      <x:c r="A198" t="n">
        <x:v>45231</x:v>
      </x:c>
      <x:c r="B198" s="12" t="n">
        <x:v>11275352</x:v>
      </x:c>
      <x:c r="C198" s="12" t="n">
        <x:v>32496740</x:v>
      </x:c>
      <x:c r="D198" s="12" t="n">
        <x:v>12578</x:v>
      </x:c>
      <x:c r="E198" s="12" t="n">
        <x:v>89</x:v>
      </x:c>
      <x:c r="F198" s="12" t="n">
        <x:v>32509318</x:v>
      </x:c>
      <x:c r="G198" t="str">
        <x:v>Howard</x:v>
      </x:c>
      <x:c r="H198" t="n">
        <x:v>2023</x:v>
      </x:c>
      <x:c r="I198" s="12" t="n">
        <x:v>11275441</x:v>
      </x:c>
      <x:c r="J198" s="14" t="n">
        <x:v>2.8832197877281347</x:v>
      </x:c>
      <x:c r="K198" s="14" t="n">
        <x:v>2.883197029721498</x:v>
      </x:c>
    </x:row>
    <x:row r="199">
      <x:c r="A199" t="n">
        <x:v>45261</x:v>
      </x:c>
      <x:c r="B199" s="12" t="n">
        <x:v>11079371</x:v>
      </x:c>
      <x:c r="C199" s="12" t="n">
        <x:v>33354453</x:v>
      </x:c>
      <x:c r="D199" s="12" t="n">
        <x:v>10877</x:v>
      </x:c>
      <x:c r="E199" s="12" t="n">
        <x:v>99</x:v>
      </x:c>
      <x:c r="F199" s="12" t="n">
        <x:v>33365330</x:v>
      </x:c>
      <x:c r="G199" t="str">
        <x:v>Howard</x:v>
      </x:c>
      <x:c r="H199" t="n">
        <x:v>2023</x:v>
      </x:c>
      <x:c r="I199" s="12" t="n">
        <x:v>11079470</x:v>
      </x:c>
      <x:c r="J199" s="14" t="n">
        <x:v>3.0114823305402445</x:v>
      </x:c>
      <x:c r="K199" s="14" t="n">
        <x:v>3.011455421604102</x:v>
      </x:c>
    </x:row>
    <x:row r="200">
      <x:c r="A200" t="n">
        <x:v>45292</x:v>
      </x:c>
      <x:c r="B200" s="12" t="n">
        <x:v>10396269</x:v>
      </x:c>
      <x:c r="C200" s="12" t="n">
        <x:v>32343184</x:v>
      </x:c>
      <x:c r="D200" s="12" t="n">
        <x:v>9530</x:v>
      </x:c>
      <x:c r="E200" s="12" t="n">
        <x:v>113</x:v>
      </x:c>
      <x:c r="F200" s="12" t="n">
        <x:v>32352714</x:v>
      </x:c>
      <x:c r="G200" t="str">
        <x:v>Howard</x:v>
      </x:c>
      <x:c r="H200" t="n">
        <x:v>2024</x:v>
      </x:c>
      <x:c r="I200" s="12" t="n">
        <x:v>10396382</x:v>
      </x:c>
      <x:c r="J200" s="14" t="n">
        <x:v>3.111954298219871</x:v>
      </x:c>
      <x:c r="K200" s="14" t="n">
        <x:v>3.1119204738725452</x:v>
      </x:c>
    </x:row>
    <x:row r="201">
      <x:c r="A201" t="n">
        <x:v>45323</x:v>
      </x:c>
      <x:c r="B201" s="12" t="n">
        <x:v>9757069</x:v>
      </x:c>
      <x:c r="C201" s="12" t="n">
        <x:v>31229135</x:v>
      </x:c>
      <x:c r="D201" s="12" t="n">
        <x:v>11494</x:v>
      </x:c>
      <x:c r="E201" s="12" t="n">
        <x:v>163</x:v>
      </x:c>
      <x:c r="F201" s="12" t="n">
        <x:v>31240629</x:v>
      </x:c>
      <x:c r="G201" t="str">
        <x:v>Howard</x:v>
      </x:c>
      <x:c r="H201" t="n">
        <x:v>2024</x:v>
      </x:c>
      <x:c r="I201" s="12" t="n">
        <x:v>9757232</x:v>
      </x:c>
      <x:c r="J201" s="14" t="n">
        <x:v>3.201845656723346</x:v>
      </x:c>
      <x:c r="K201" s="14" t="n">
        <x:v>3.2017921681066928</x:v>
      </x:c>
    </x:row>
    <x:row r="202">
      <x:c r="A202" t="n">
        <x:v>45352</x:v>
      </x:c>
      <x:c r="B202" s="12" t="n">
        <x:v>9589017</x:v>
      </x:c>
      <x:c r="C202" s="12" t="n">
        <x:v>33261261</x:v>
      </x:c>
      <x:c r="D202" s="12" t="n">
        <x:v>11554</x:v>
      </x:c>
      <x:c r="E202" s="12" t="n">
        <x:v>96</x:v>
      </x:c>
      <x:c r="F202" s="12" t="n">
        <x:v>33272815</x:v>
      </x:c>
      <x:c r="G202" t="str">
        <x:v>Howard</x:v>
      </x:c>
      <x:c r="H202" t="n">
        <x:v>2024</x:v>
      </x:c>
      <x:c r="I202" s="12" t="n">
        <x:v>9589113</x:v>
      </x:c>
      <x:c r="J202" s="14" t="n">
        <x:v>3.469887997904269</x:v>
      </x:c>
      <x:c r="K202" s="14" t="n">
        <x:v>3.4698532596289144</x:v>
      </x:c>
    </x:row>
    <x:row r="203">
      <x:c r="A203" t="n">
        <x:v>45383</x:v>
      </x:c>
      <x:c r="B203" s="12" t="n">
        <x:v>9304251</x:v>
      </x:c>
      <x:c r="C203" s="12" t="n">
        <x:v>32502286</x:v>
      </x:c>
      <x:c r="D203" s="12" t="n">
        <x:v>11106</x:v>
      </x:c>
      <x:c r="E203" s="12" t="n">
        <x:v>267</x:v>
      </x:c>
      <x:c r="F203" s="12" t="n">
        <x:v>32513392</x:v>
      </x:c>
      <x:c r="G203" t="str">
        <x:v>Howard</x:v>
      </x:c>
      <x:c r="H203" t="n">
        <x:v>2024</x:v>
      </x:c>
      <x:c r="I203" s="12" t="n">
        <x:v>9304518</x:v>
      </x:c>
      <x:c r="J203" s="14" t="n">
        <x:v>3.494466346619411</x:v>
      </x:c>
      <x:c r="K203" s="14" t="n">
        <x:v>3.4943660703327137</x:v>
      </x:c>
    </x:row>
    <x:row r="204">
      <x:c r="A204" t="n">
        <x:v>45413</x:v>
      </x:c>
      <x:c r="B204" s="12" t="n">
        <x:v>9842979</x:v>
      </x:c>
      <x:c r="C204" s="12" t="n">
        <x:v>33426488</x:v>
      </x:c>
      <x:c r="D204" s="12" t="n">
        <x:v>9395</x:v>
      </x:c>
      <x:c r="E204" s="12" t="n">
        <x:v>111</x:v>
      </x:c>
      <x:c r="F204" s="12" t="n">
        <x:v>33435883</x:v>
      </x:c>
      <x:c r="G204" t="str">
        <x:v>Howard</x:v>
      </x:c>
      <x:c r="H204" t="n">
        <x:v>2024</x:v>
      </x:c>
      <x:c r="I204" s="12" t="n">
        <x:v>9843090</x:v>
      </x:c>
      <x:c r="J204" s="14" t="n">
        <x:v>3.3969271904369602</x:v>
      </x:c>
      <x:c r="K204" s="14" t="n">
        <x:v>3.396888883470536</x:v>
      </x:c>
    </x:row>
    <x:row r="205">
      <x:c r="A205" t="n">
        <x:v>45444</x:v>
      </x:c>
      <x:c r="B205" s="12" t="n">
        <x:v>9575744</x:v>
      </x:c>
      <x:c r="C205" s="12" t="n">
        <x:v>32652020</x:v>
      </x:c>
      <x:c r="D205" s="12" t="n">
        <x:v>9223</x:v>
      </x:c>
      <x:c r="E205" s="12" t="n">
        <x:v>81</x:v>
      </x:c>
      <x:c r="F205" s="12" t="n">
        <x:v>32661243</x:v>
      </x:c>
      <x:c r="G205" t="str">
        <x:v>Howard</x:v>
      </x:c>
      <x:c r="H205" t="n">
        <x:v>2024</x:v>
      </x:c>
      <x:c r="I205" s="12" t="n">
        <x:v>9575825</x:v>
      </x:c>
      <x:c r="J205" s="14" t="n">
        <x:v>3.4108308451019576</x:v>
      </x:c>
      <x:c r="K205" s="14" t="n">
        <x:v>3.4108019935619125</x:v>
      </x:c>
    </x:row>
    <x:row r="206">
      <x:c r="A206" t="n">
        <x:v>45474</x:v>
      </x:c>
      <x:c r="B206" s="12" t="n">
        <x:v>9717113</x:v>
      </x:c>
      <x:c r="C206" s="12" t="n">
        <x:v>34089676</x:v>
      </x:c>
      <x:c r="D206" s="12" t="n">
        <x:v>11740</x:v>
      </x:c>
      <x:c r="E206" s="12" t="n">
        <x:v>51</x:v>
      </x:c>
      <x:c r="F206" s="12" t="n">
        <x:v>34101416</x:v>
      </x:c>
      <x:c r="G206" t="str">
        <x:v>Howard</x:v>
      </x:c>
      <x:c r="H206" t="n">
        <x:v>2024</x:v>
      </x:c>
      <x:c r="I206" s="12" t="n">
        <x:v>9717164</x:v>
      </x:c>
      <x:c r="J206" s="14" t="n">
        <x:v>3.509418486746012</x:v>
      </x:c>
      <x:c r="K206" s="14" t="n">
        <x:v>3.5094000677563946</x:v>
      </x:c>
    </x:row>
    <x:row r="207">
      <x:c r="A207" t="n">
        <x:v>45505</x:v>
      </x:c>
      <x:c r="B207" s="12" t="n">
        <x:v>9420324</x:v>
      </x:c>
      <x:c r="C207" s="12" t="n">
        <x:v>34201350</x:v>
      </x:c>
      <x:c r="D207" s="12" t="n">
        <x:v>8730</x:v>
      </x:c>
      <x:c r="E207" s="12" t="n">
        <x:v>68</x:v>
      </x:c>
      <x:c r="F207" s="12" t="n">
        <x:v>34210080</x:v>
      </x:c>
      <x:c r="G207" t="str">
        <x:v>Howard</x:v>
      </x:c>
      <x:c r="H207" t="n">
        <x:v>2024</x:v>
      </x:c>
      <x:c r="I207" s="12" t="n">
        <x:v>9420392</x:v>
      </x:c>
      <x:c r="J207" s="14" t="n">
        <x:v>3.631518406373284</x:v>
      </x:c>
      <x:c r="K207" s="14" t="n">
        <x:v>3.6314921926815784</x:v>
      </x:c>
    </x:row>
    <x:row r="208">
      <x:c r="A208" t="n">
        <x:v>45536</x:v>
      </x:c>
      <x:c r="B208" s="12" t="n">
        <x:v>8817326</x:v>
      </x:c>
      <x:c r="C208" s="12" t="n">
        <x:v>32692624</x:v>
      </x:c>
      <x:c r="D208" s="12" t="n">
        <x:v>10173</x:v>
      </x:c>
      <x:c r="E208" s="12" t="n">
        <x:v>110</x:v>
      </x:c>
      <x:c r="F208" s="12" t="n">
        <x:v>32702797</x:v>
      </x:c>
      <x:c r="G208" t="str">
        <x:v>Howard</x:v>
      </x:c>
      <x:c r="H208" t="n">
        <x:v>2024</x:v>
      </x:c>
      <x:c r="I208" s="12" t="n">
        <x:v>8817436</x:v>
      </x:c>
      <x:c r="J208" s="14" t="n">
        <x:v>3.7089245651119174</x:v>
      </x:c>
      <x:c r="K208" s="14" t="n">
        <x:v>3.70887829523231</x:v>
      </x:c>
    </x:row>
    <x:row r="209">
      <x:c r="A209" t="n">
        <x:v>45566</x:v>
      </x:c>
      <x:c r="B209" s="12" t="n">
        <x:v>9133152</x:v>
      </x:c>
      <x:c r="C209" s="12" t="n">
        <x:v>33178168</x:v>
      </x:c>
      <x:c r="D209" s="12" t="n">
        <x:v>11004</x:v>
      </x:c>
      <x:c r="E209" s="12" t="n">
        <x:v>95</x:v>
      </x:c>
      <x:c r="F209" s="12" t="n">
        <x:v>33189172</x:v>
      </x:c>
      <x:c r="G209" t="str">
        <x:v>Howard</x:v>
      </x:c>
      <x:c r="H209" t="n">
        <x:v>2024</x:v>
      </x:c>
      <x:c r="I209" s="12" t="n">
        <x:v>9133247</x:v>
      </x:c>
      <x:c r="J209" s="14" t="n">
        <x:v>3.6339230968673246</x:v>
      </x:c>
      <x:c r="K209" s="14" t="n">
        <x:v>3.6338852984048278</x:v>
      </x:c>
    </x:row>
    <x:row r="210">
      <x:c r="A210" t="n">
        <x:v>45597</x:v>
      </x:c>
      <x:c r="B210" s="12" t="n">
        <x:v>9088678</x:v>
      </x:c>
      <x:c r="C210" s="12" t="n">
        <x:v>32302567</x:v>
      </x:c>
      <x:c r="D210" s="12" t="n">
        <x:v>9883</x:v>
      </x:c>
      <x:c r="E210" s="12" t="n">
        <x:v>72</x:v>
      </x:c>
      <x:c r="F210" s="12" t="n">
        <x:v>32312450</x:v>
      </x:c>
      <x:c r="G210" t="str">
        <x:v>Howard</x:v>
      </x:c>
      <x:c r="H210" t="n">
        <x:v>2024</x:v>
      </x:c>
      <x:c r="I210" s="12" t="n">
        <x:v>9088750</x:v>
      </x:c>
      <x:c r="J210" s="14" t="n">
        <x:v>3.5552420274983887</x:v>
      </x:c>
      <x:c r="K210" s="14" t="n">
        <x:v>3.555213863292532</x:v>
      </x:c>
    </x:row>
    <x:row r="211">
      <x:c r="A211" t="n">
        <x:v>45627</x:v>
      </x:c>
      <x:c r="B211" s="12" t="n">
        <x:v>9938567</x:v>
      </x:c>
      <x:c r="C211" s="12" t="n">
        <x:v>34885835</x:v>
      </x:c>
      <x:c r="D211" s="12" t="n">
        <x:v>10390</x:v>
      </x:c>
      <x:c r="E211" s="12" t="n">
        <x:v>71</x:v>
      </x:c>
      <x:c r="F211" s="12" t="n">
        <x:v>34896225</x:v>
      </x:c>
      <x:c r="G211" t="str">
        <x:v>Howard</x:v>
      </x:c>
      <x:c r="H211" t="n">
        <x:v>2024</x:v>
      </x:c>
      <x:c r="I211" s="12" t="n">
        <x:v>9938638</x:v>
      </x:c>
      <x:c r="J211" s="14" t="n">
        <x:v>3.511192810794554</x:v>
      </x:c>
      <x:c r="K211" s="14" t="n">
        <x:v>3.511167727408927</x:v>
      </x:c>
    </x:row>
    <x:row r="212">
      <x:c r="A212" t="n">
        <x:v>45658</x:v>
      </x:c>
      <x:c r="B212" s="12" t="n">
        <x:v>9573505</x:v>
      </x:c>
      <x:c r="C212" s="12" t="n">
        <x:v>34637029</x:v>
      </x:c>
      <x:c r="D212" s="12" t="n">
        <x:v>10129</x:v>
      </x:c>
      <x:c r="E212" s="12" t="n">
        <x:v>98</x:v>
      </x:c>
      <x:c r="F212" s="12" t="n">
        <x:v>34647158</x:v>
      </x:c>
      <x:c r="G212" t="str">
        <x:v>Howard</x:v>
      </x:c>
      <x:c r="H212" t="n">
        <x:v>2025</x:v>
      </x:c>
      <x:c r="I212" s="12" t="n">
        <x:v>9573603</x:v>
      </x:c>
      <x:c r="J212" s="14" t="n">
        <x:v>3.619067206838039</x:v>
      </x:c>
      <x:c r="K212" s="14" t="n">
        <x:v>3.6190301603273083</x:v>
      </x:c>
    </x:row>
    <x:row r="213">
      <x:c r="A213" t="n">
        <x:v>45689</x:v>
      </x:c>
      <x:c r="B213" s="12" t="n">
        <x:v>8138326</x:v>
      </x:c>
      <x:c r="C213" s="12" t="n">
        <x:v>31688319</x:v>
      </x:c>
      <x:c r="D213" s="12" t="n">
        <x:v>9811</x:v>
      </x:c>
      <x:c r="E213" s="12" t="n">
        <x:v>119</x:v>
      </x:c>
      <x:c r="F213" s="12" t="n">
        <x:v>31698130</x:v>
      </x:c>
      <x:c r="G213" t="str">
        <x:v>Howard</x:v>
      </x:c>
      <x:c r="H213" t="n">
        <x:v>2025</x:v>
      </x:c>
      <x:c r="I213" s="12" t="n">
        <x:v>8138445</x:v>
      </x:c>
      <x:c r="J213" s="14" t="n">
        <x:v>3.8949201592563383</x:v>
      </x:c>
      <x:c r="K213" s="14" t="n">
        <x:v>3.8948632078978234</x:v>
      </x:c>
    </x:row>
    <x:row r="214">
      <x:c r="A214" t="n">
        <x:v>45717</x:v>
      </x:c>
      <x:c r="B214" s="12" t="n">
        <x:v>8542784</x:v>
      </x:c>
      <x:c r="C214" s="12" t="n">
        <x:v>34741576</x:v>
      </x:c>
      <x:c r="D214" s="12" t="n">
        <x:v>12460</x:v>
      </x:c>
      <x:c r="E214" s="12" t="n">
        <x:v>79</x:v>
      </x:c>
      <x:c r="F214" s="12" t="n">
        <x:v>34754036</x:v>
      </x:c>
      <x:c r="G214" t="str">
        <x:v>Howard</x:v>
      </x:c>
      <x:c r="H214" t="n">
        <x:v>2025</x:v>
      </x:c>
      <x:c r="I214" s="12" t="n">
        <x:v>8542863</x:v>
      </x:c>
      <x:c r="J214" s="14" t="n">
        <x:v>4.068233025674066</x:v>
      </x:c>
      <x:c r="K214" s="14" t="n">
        <x:v>4.06819540474897</x:v>
      </x:c>
    </x:row>
    <x:row r="215">
      <x:c r="A215" t="n">
        <x:v>45748</x:v>
      </x:c>
      <x:c r="B215" s="12" t="n">
        <x:v>7987594</x:v>
      </x:c>
      <x:c r="C215" s="12" t="n">
        <x:v>33954233</x:v>
      </x:c>
      <x:c r="D215" s="12" t="n">
        <x:v>8227</x:v>
      </x:c>
      <x:c r="E215" s="12" t="n">
        <x:v>36</x:v>
      </x:c>
      <x:c r="F215" s="12" t="n">
        <x:v>33962460</x:v>
      </x:c>
      <x:c r="G215" t="str">
        <x:v>Howard</x:v>
      </x:c>
      <x:c r="H215" t="n">
        <x:v>2025</x:v>
      </x:c>
      <x:c r="I215" s="12" t="n">
        <x:v>7987630</x:v>
      </x:c>
      <x:c r="J215" s="14" t="n">
        <x:v>4.251901135686166</x:v>
      </x:c>
      <x:c r="K215" s="14" t="n">
        <x:v>4.251881972499978</x:v>
      </x:c>
    </x:row>
    <x:row r="216">
      <x:c r="A216" t="n">
        <x:v>45778</x:v>
      </x:c>
      <x:c r="B216" s="12" t="n">
        <x:v>8336614</x:v>
      </x:c>
      <x:c r="C216" s="12" t="n">
        <x:v>35870249</x:v>
      </x:c>
      <x:c r="D216" s="12" t="n">
        <x:v>8562</x:v>
      </x:c>
      <x:c r="E216" s="12" t="n">
        <x:v>97</x:v>
      </x:c>
      <x:c r="F216" s="12" t="n">
        <x:v>35878811</x:v>
      </x:c>
      <x:c r="G216" t="str">
        <x:v>Howard</x:v>
      </x:c>
      <x:c r="H216" t="n">
        <x:v>2025</x:v>
      </x:c>
      <x:c r="I216" s="12" t="n">
        <x:v>8336711</x:v>
      </x:c>
      <x:c r="J216" s="14" t="n">
        <x:v>4.303763014576422</x:v>
      </x:c>
      <x:c r="K216" s="14" t="n">
        <x:v>4.303712939071535</x:v>
      </x:c>
    </x:row>
    <x:row r="217">
      <x:c r="A217" t="n">
        <x:v>45809</x:v>
      </x:c>
      <x:c r="B217" s="12" t="n">
        <x:v>8605736</x:v>
      </x:c>
      <x:c r="C217" s="12" t="n">
        <x:v>36158191</x:v>
      </x:c>
      <x:c r="D217" s="12" t="n">
        <x:v>15272</x:v>
      </x:c>
      <x:c r="E217" s="12" t="n">
        <x:v>54</x:v>
      </x:c>
      <x:c r="F217" s="12" t="n">
        <x:v>36173463</x:v>
      </x:c>
      <x:c r="G217" t="str">
        <x:v>Howard</x:v>
      </x:c>
      <x:c r="H217" t="n">
        <x:v>2025</x:v>
      </x:c>
      <x:c r="I217" s="12" t="n">
        <x:v>8605790</x:v>
      </x:c>
      <x:c r="J217" s="14" t="n">
        <x:v>4.203413049156981</x:v>
      </x:c>
      <x:c r="K217" s="14" t="n">
        <x:v>4.203386673390821</x:v>
      </x:c>
    </x:row>
    <x:row r="218">
      <x:c r="A218" t="n">
        <x:v>45839</x:v>
      </x:c>
      <x:c r="B218" s="12" t="n">
        <x:v>8711360</x:v>
      </x:c>
      <x:c r="C218" s="12" t="n">
        <x:v>38346246</x:v>
      </x:c>
      <x:c r="D218" s="12" t="n">
        <x:v>16691</x:v>
      </x:c>
      <x:c r="E218" s="12" t="n">
        <x:v>59</x:v>
      </x:c>
      <x:c r="F218" s="12" t="n">
        <x:v>38362937</x:v>
      </x:c>
      <x:c r="G218" t="str">
        <x:v>Howard</x:v>
      </x:c>
      <x:c r="H218" t="n">
        <x:v>2025</x:v>
      </x:c>
      <x:c r="I218" s="12" t="n">
        <x:v>8711419</x:v>
      </x:c>
      <x:c r="J218" s="14" t="n">
        <x:v>4.40378276181905</x:v>
      </x:c>
      <x:c r="K218" s="14" t="n">
        <x:v>4.403752936232317</x:v>
      </x:c>
    </x:row>
    <x:row r="219">
      <x:c r="A219" t="n">
        <x:v>45870</x:v>
      </x:c>
      <x:c r="B219" s="12" t="n">
        <x:v>8061164</x:v>
      </x:c>
      <x:c r="C219" s="12" t="n">
        <x:v>36296759</x:v>
      </x:c>
      <x:c r="D219" s="12" t="n">
        <x:v>9554</x:v>
      </x:c>
      <x:c r="E219" s="12" t="n">
        <x:v>40</x:v>
      </x:c>
      <x:c r="F219" s="12" t="n">
        <x:v>36306313</x:v>
      </x:c>
      <x:c r="G219" t="str">
        <x:v>Howard</x:v>
      </x:c>
      <x:c r="H219" t="n">
        <x:v>2025</x:v>
      </x:c>
      <x:c r="I219" s="12" t="n">
        <x:v>8061204</x:v>
      </x:c>
      <x:c r="J219" s="14" t="n">
        <x:v>4.503854902344128</x:v>
      </x:c>
      <x:c r="K219" s="14" t="n">
        <x:v>4.503832554045276</x:v>
      </x:c>
    </x:row>
    <x:row r="220">
      <x:c r="A220" t="n">
        <x:v>45901</x:v>
      </x:c>
      <x:c r="B220" s="12" t="n">
        <x:v>7666745</x:v>
      </x:c>
      <x:c r="C220" s="12" t="n">
        <x:v>35528559</x:v>
      </x:c>
      <x:c r="D220" s="12" t="n">
        <x:v>86146</x:v>
      </x:c>
      <x:c r="E220" s="12" t="n">
        <x:v>462</x:v>
      </x:c>
      <x:c r="F220" s="12" t="n">
        <x:v>35614705</x:v>
      </x:c>
      <x:c r="G220" t="str">
        <x:v>Howard</x:v>
      </x:c>
      <x:c r="H220" t="n">
        <x:v>2025</x:v>
      </x:c>
      <x:c r="I220" s="12" t="n">
        <x:v>7667207</x:v>
      </x:c>
      <x:c r="J220" s="14" t="n">
        <x:v>4.645348841000972</x:v>
      </x:c>
      <x:c r="K220" s="14" t="n">
        <x:v>4.645068927968164</x:v>
      </x:c>
    </x:row>
    <x:row r="221">
      <x:c r="A221" t="n">
        <x:v>45931</x:v>
      </x:c>
      <x:c r="B221" s="12" t="n">
        <x:v>7975078</x:v>
      </x:c>
      <x:c r="C221" s="12" t="n">
        <x:v>36438999</x:v>
      </x:c>
      <x:c r="D221" s="12" t="n">
        <x:v>99749</x:v>
      </x:c>
      <x:c r="E221" s="12" t="n">
        <x:v>378</x:v>
      </x:c>
      <x:c r="F221" s="12" t="n">
        <x:v>36538748</x:v>
      </x:c>
      <x:c r="G221" t="str">
        <x:v>Howard</x:v>
      </x:c>
      <x:c r="H221" t="n">
        <x:v>2025</x:v>
      </x:c>
      <x:c r="I221" s="12" t="n">
        <x:v>7975456</x:v>
      </x:c>
      <x:c r="J221" s="14" t="n">
        <x:v>4.581616380429132</x:v>
      </x:c>
      <x:c r="K221" s="14" t="n">
        <x:v>4.581399232846373</x:v>
      </x:c>
    </x:row>
    <x:row r="222">
      <x:c r="A222" t="n">
        <x:v>45962</x:v>
      </x:c>
      <x:c r="B222" s="12" t="n">
        <x:v>7535264</x:v>
      </x:c>
      <x:c r="C222" s="12" t="n">
        <x:v>35611435</x:v>
      </x:c>
      <x:c r="D222" s="12" t="n">
        <x:v>98959</x:v>
      </x:c>
      <x:c r="E222" s="12" t="n">
        <x:v>425</x:v>
      </x:c>
      <x:c r="F222" s="12" t="n">
        <x:v>35710394</x:v>
      </x:c>
      <x:c r="G222" t="str">
        <x:v>Howard</x:v>
      </x:c>
      <x:c r="H222" t="n">
        <x:v>2025</x:v>
      </x:c>
      <x:c r="I222" s="12" t="n">
        <x:v>7535689</x:v>
      </x:c>
      <x:c r="J222" s="14" t="n">
        <x:v>4.739103235135491</x:v>
      </x:c>
      <x:c r="K222" s="14" t="n">
        <x:v>4.7388359578002754</x:v>
      </x:c>
    </x:row>
    <x:row r="223">
      <x:c r="A223" t="n">
        <x:v>45992</x:v>
      </x:c>
      <x:c r="B223" s="12" t="n">
        <x:v>7459129</x:v>
      </x:c>
      <x:c r="C223" s="12" t="n">
        <x:v>36251692</x:v>
      </x:c>
      <x:c r="D223" s="12" t="n">
        <x:v>103776</x:v>
      </x:c>
      <x:c r="E223" s="12" t="n">
        <x:v>328</x:v>
      </x:c>
      <x:c r="F223" s="12" t="n">
        <x:v>36355468</x:v>
      </x:c>
      <x:c r="G223" t="str">
        <x:v>Howard</x:v>
      </x:c>
      <x:c r="H223" t="n">
        <x:v>2025</x:v>
      </x:c>
      <x:c r="I223" s="12" t="n">
        <x:v>7459457</x:v>
      </x:c>
      <x:c r="J223" s="14" t="n">
        <x:v>4.8739561951536166</x:v>
      </x:c>
      <x:c r="K223" s="14" t="n">
        <x:v>4.873741882284461</x:v>
      </x:c>
    </x:row>
    <x:row r="224">
      <x:c r="A224" t="n">
        <x:v>46023</x:v>
      </x:c>
      <x:c r="B224" s="12" t="n">
        <x:v>6859057</x:v>
      </x:c>
      <x:c r="C224" s="12" t="n">
        <x:v>35046640</x:v>
      </x:c>
      <x:c r="D224" s="12" t="n">
        <x:v>99118</x:v>
      </x:c>
      <x:c r="E224" s="12" t="n">
        <x:v>533</x:v>
      </x:c>
      <x:c r="F224" s="12" t="n">
        <x:v>35145758</x:v>
      </x:c>
      <x:c r="G224" t="str">
        <x:v>Howard</x:v>
      </x:c>
      <x:c r="H224" t="n">
        <x:v>2026</x:v>
      </x:c>
      <x:c r="I224" s="12" t="n">
        <x:v>6859590</x:v>
      </x:c>
      <x:c r="J224" s="14" t="n">
        <x:v>5.123992700454305</x:v>
      </x:c>
      <x:c r="K224" s="14" t="n">
        <x:v>5.123594558858474</x:v>
      </x:c>
    </x:row>
    <x:row r="225">
      <x:c r="A225" t="n">
        <x:v>46054</x:v>
      </x:c>
      <x:c r="B225" s="12" t="n">
        <x:v>6125961</x:v>
      </x:c>
      <x:c r="C225" s="12" t="n">
        <x:v>31955848</x:v>
      </x:c>
      <x:c r="D225" s="12" t="n">
        <x:v>81239</x:v>
      </x:c>
      <x:c r="E225" s="12" t="n">
        <x:v>652</x:v>
      </x:c>
      <x:c r="F225" s="12" t="n">
        <x:v>32037087</x:v>
      </x:c>
      <x:c r="G225" t="str">
        <x:v>Howard</x:v>
      </x:c>
      <x:c r="H225" t="n">
        <x:v>2026</x:v>
      </x:c>
      <x:c r="I225" s="12" t="n">
        <x:v>6126613</x:v>
      </x:c>
      <x:c r="J225" s="14" t="n">
        <x:v>5.229724283259394</x:v>
      </x:c>
      <x:c r="K225" s="14" t="n">
        <x:v>5.229167731012224</x:v>
      </x:c>
    </x:row>
    <x:row r="226">
      <x:c r="A226" t="n">
        <x:v>46082</x:v>
      </x:c>
      <x:c r="B226" s="12" t="n">
        <x:v>6483913</x:v>
      </x:c>
      <x:c r="C226" s="12" t="n">
        <x:v>35478646</x:v>
      </x:c>
      <x:c r="D226" s="12" t="n">
        <x:v>81291</x:v>
      </x:c>
      <x:c r="E226" s="12" t="n">
        <x:v>349</x:v>
      </x:c>
      <x:c r="F226" s="12" t="n">
        <x:v>35559937</x:v>
      </x:c>
      <x:c r="G226" t="str">
        <x:v>Howard</x:v>
      </x:c>
      <x:c r="H226" t="n">
        <x:v>2026</x:v>
      </x:c>
      <x:c r="I226" s="12" t="n">
        <x:v>6484262</x:v>
      </x:c>
      <x:c r="J226" s="14" t="n">
        <x:v>5.484332840369697</x:v>
      </x:c>
      <x:c r="K226" s="14" t="n">
        <x:v>5.48403765918157</x:v>
      </x:c>
    </x:row>
    <x:row r="227">
      <x:c r="A227" t="n">
        <x:v>43831</x:v>
      </x:c>
      <x:c r="B227" s="12" t="n">
        <x:v>9438964</x:v>
      </x:c>
      <x:c r="C227" s="12" t="n">
        <x:v>23780224</x:v>
      </x:c>
      <x:c r="D227" s="12" t="n">
        <x:v>76198520</x:v>
      </x:c>
      <x:c r="E227" s="12" t="n">
        <x:v>9006846</x:v>
      </x:c>
      <x:c r="F227" s="12" t="n">
        <x:v>99978744</x:v>
      </x:c>
      <x:c r="G227" t="str">
        <x:v>Reeves</x:v>
      </x:c>
      <x:c r="H227" t="n">
        <x:v>2020</x:v>
      </x:c>
      <x:c r="I227" s="12" t="n">
        <x:v>18445810</x:v>
      </x:c>
      <x:c r="J227" s="14" t="n">
        <x:v>10.592131085572527</x:v>
      </x:c>
      <x:c r="K227" s="14" t="n">
        <x:v>5.420133027500555</x:v>
      </x:c>
    </x:row>
    <x:row r="228">
      <x:c r="A228" t="n">
        <x:v>43862</x:v>
      </x:c>
      <x:c r="B228" s="12" t="n">
        <x:v>8729863</x:v>
      </x:c>
      <x:c r="C228" s="12" t="n">
        <x:v>22351615</x:v>
      </x:c>
      <x:c r="D228" s="12" t="n">
        <x:v>70691116</x:v>
      </x:c>
      <x:c r="E228" s="12" t="n">
        <x:v>8449768</x:v>
      </x:c>
      <x:c r="F228" s="12" t="n">
        <x:v>93042731</x:v>
      </x:c>
      <x:c r="G228" t="str">
        <x:v>Reeves</x:v>
      </x:c>
      <x:c r="H228" t="n">
        <x:v>2020</x:v>
      </x:c>
      <x:c r="I228" s="12" t="n">
        <x:v>17179631</x:v>
      </x:c>
      <x:c r="J228" s="14" t="n">
        <x:v>10.65798294887331</x:v>
      </x:c>
      <x:c r="K228" s="14" t="n">
        <x:v>5.415874822922564</x:v>
      </x:c>
    </x:row>
    <x:row r="229">
      <x:c r="A229" t="n">
        <x:v>43891</x:v>
      </x:c>
      <x:c r="B229" s="12" t="n">
        <x:v>8848597</x:v>
      </x:c>
      <x:c r="C229" s="12" t="n">
        <x:v>23206456</x:v>
      </x:c>
      <x:c r="D229" s="12" t="n">
        <x:v>71406898</x:v>
      </x:c>
      <x:c r="E229" s="12" t="n">
        <x:v>8854008</x:v>
      </x:c>
      <x:c r="F229" s="12" t="n">
        <x:v>94613354</x:v>
      </x:c>
      <x:c r="G229" t="str">
        <x:v>Reeves</x:v>
      </x:c>
      <x:c r="H229" t="n">
        <x:v>2020</x:v>
      </x:c>
      <x:c r="I229" s="12" t="n">
        <x:v>17702605</x:v>
      </x:c>
      <x:c r="J229" s="14" t="n">
        <x:v>10.6924695519527</x:v>
      </x:c>
      <x:c r="K229" s="14" t="n">
        <x:v>5.344600639284445</x:v>
      </x:c>
    </x:row>
    <x:row r="230">
      <x:c r="A230" t="n">
        <x:v>43922</x:v>
      </x:c>
      <x:c r="B230" s="12" t="n">
        <x:v>8308387</x:v>
      </x:c>
      <x:c r="C230" s="12" t="n">
        <x:v>22090189</x:v>
      </x:c>
      <x:c r="D230" s="12" t="n">
        <x:v>62682903</x:v>
      </x:c>
      <x:c r="E230" s="12" t="n">
        <x:v>8312052</x:v>
      </x:c>
      <x:c r="F230" s="12" t="n">
        <x:v>84773092</x:v>
      </x:c>
      <x:c r="G230" t="str">
        <x:v>Reeves</x:v>
      </x:c>
      <x:c r="H230" t="n">
        <x:v>2020</x:v>
      </x:c>
      <x:c r="I230" s="12" t="n">
        <x:v>16620439</x:v>
      </x:c>
      <x:c r="J230" s="14" t="n">
        <x:v>10.203315276479056</x:v>
      </x:c>
      <x:c r="K230" s="14" t="n">
        <x:v>5.100532663427241</x:v>
      </x:c>
    </x:row>
    <x:row r="231">
      <x:c r="A231" t="n">
        <x:v>43952</x:v>
      </x:c>
      <x:c r="B231" s="12" t="n">
        <x:v>7465451</x:v>
      </x:c>
      <x:c r="C231" s="12" t="n">
        <x:v>19612982</x:v>
      </x:c>
      <x:c r="D231" s="12" t="n">
        <x:v>59732137</x:v>
      </x:c>
      <x:c r="E231" s="12" t="n">
        <x:v>7270292</x:v>
      </x:c>
      <x:c r="F231" s="12" t="n">
        <x:v>79345119</x:v>
      </x:c>
      <x:c r="G231" t="str">
        <x:v>Reeves</x:v>
      </x:c>
      <x:c r="H231" t="n">
        <x:v>2020</x:v>
      </x:c>
      <x:c r="I231" s="12" t="n">
        <x:v>14735743</x:v>
      </x:c>
      <x:c r="J231" s="14" t="n">
        <x:v>10.628308859036112</x:v>
      </x:c>
      <x:c r="K231" s="14" t="n">
        <x:v>5.384534665133614</x:v>
      </x:c>
    </x:row>
    <x:row r="232">
      <x:c r="A232" t="n">
        <x:v>43983</x:v>
      </x:c>
      <x:c r="B232" s="12" t="n">
        <x:v>7069492</x:v>
      </x:c>
      <x:c r="C232" s="12" t="n">
        <x:v>19080418</x:v>
      </x:c>
      <x:c r="D232" s="12" t="n">
        <x:v>66735616</x:v>
      </x:c>
      <x:c r="E232" s="12" t="n">
        <x:v>7470198</x:v>
      </x:c>
      <x:c r="F232" s="12" t="n">
        <x:v>85816034</x:v>
      </x:c>
      <x:c r="G232" t="str">
        <x:v>Reeves</x:v>
      </x:c>
      <x:c r="H232" t="n">
        <x:v>2020</x:v>
      </x:c>
      <x:c r="I232" s="12" t="n">
        <x:v>14539690</x:v>
      </x:c>
      <x:c r="J232" s="14" t="n">
        <x:v>12.138925116543028</x:v>
      </x:c>
      <x:c r="K232" s="14" t="n">
        <x:v>5.902191449748929</x:v>
      </x:c>
    </x:row>
    <x:row r="233">
      <x:c r="A233" t="n">
        <x:v>44013</x:v>
      </x:c>
      <x:c r="B233" s="12" t="n">
        <x:v>7396040</x:v>
      </x:c>
      <x:c r="C233" s="12" t="n">
        <x:v>20553362</x:v>
      </x:c>
      <x:c r="D233" s="12" t="n">
        <x:v>70664941</x:v>
      </x:c>
      <x:c r="E233" s="12" t="n">
        <x:v>8203602</x:v>
      </x:c>
      <x:c r="F233" s="12" t="n">
        <x:v>91218303</x:v>
      </x:c>
      <x:c r="G233" t="str">
        <x:v>Reeves</x:v>
      </x:c>
      <x:c r="H233" t="n">
        <x:v>2020</x:v>
      </x:c>
      <x:c r="I233" s="12" t="n">
        <x:v>15599642</x:v>
      </x:c>
      <x:c r="J233" s="14" t="n">
        <x:v>12.333397737167457</x:v>
      </x:c>
      <x:c r="K233" s="14" t="n">
        <x:v>5.847461307124869</x:v>
      </x:c>
    </x:row>
    <x:row r="234">
      <x:c r="A234" t="n">
        <x:v>44044</x:v>
      </x:c>
      <x:c r="B234" s="12" t="n">
        <x:v>7275842</x:v>
      </x:c>
      <x:c r="C234" s="12" t="n">
        <x:v>20828513</x:v>
      </x:c>
      <x:c r="D234" s="12" t="n">
        <x:v>71011375</x:v>
      </x:c>
      <x:c r="E234" s="12" t="n">
        <x:v>8173997</x:v>
      </x:c>
      <x:c r="F234" s="12" t="n">
        <x:v>91839888</x:v>
      </x:c>
      <x:c r="G234" t="str">
        <x:v>Reeves</x:v>
      </x:c>
      <x:c r="H234" t="n">
        <x:v>2020</x:v>
      </x:c>
      <x:c r="I234" s="12" t="n">
        <x:v>15449839</x:v>
      </x:c>
      <x:c r="J234" s="14" t="n">
        <x:v>12.622578665122195</x:v>
      </x:c>
      <x:c r="K234" s="14" t="n">
        <x:v>5.944391265177585</x:v>
      </x:c>
    </x:row>
    <x:row r="235">
      <x:c r="A235" t="n">
        <x:v>44075</x:v>
      </x:c>
      <x:c r="B235" s="12" t="n">
        <x:v>6900441</x:v>
      </x:c>
      <x:c r="C235" s="12" t="n">
        <x:v>20099927</x:v>
      </x:c>
      <x:c r="D235" s="12" t="n">
        <x:v>66228821</x:v>
      </x:c>
      <x:c r="E235" s="12" t="n">
        <x:v>7461217</x:v>
      </x:c>
      <x:c r="F235" s="12" t="n">
        <x:v>86328748</x:v>
      </x:c>
      <x:c r="G235" t="str">
        <x:v>Reeves</x:v>
      </x:c>
      <x:c r="H235" t="n">
        <x:v>2020</x:v>
      </x:c>
      <x:c r="I235" s="12" t="n">
        <x:v>14361658</x:v>
      </x:c>
      <x:c r="J235" s="14" t="n">
        <x:v>12.51061316226021</x:v>
      </x:c>
      <x:c r="K235" s="14" t="n">
        <x:v>6.011057219159515</x:v>
      </x:c>
    </x:row>
    <x:row r="236">
      <x:c r="A236" t="n">
        <x:v>44105</x:v>
      </x:c>
      <x:c r="B236" s="12" t="n">
        <x:v>6958091</x:v>
      </x:c>
      <x:c r="C236" s="12" t="n">
        <x:v>20258305</x:v>
      </x:c>
      <x:c r="D236" s="12" t="n">
        <x:v>65790478</x:v>
      </x:c>
      <x:c r="E236" s="12" t="n">
        <x:v>7865528</x:v>
      </x:c>
      <x:c r="F236" s="12" t="n">
        <x:v>86048783</x:v>
      </x:c>
      <x:c r="G236" t="str">
        <x:v>Reeves</x:v>
      </x:c>
      <x:c r="H236" t="n">
        <x:v>2020</x:v>
      </x:c>
      <x:c r="I236" s="12" t="n">
        <x:v>14823619</x:v>
      </x:c>
      <x:c r="J236" s="14" t="n">
        <x:v>12.366722855449865</x:v>
      </x:c>
      <x:c r="K236" s="14" t="n">
        <x:v>5.8048431358091435</x:v>
      </x:c>
    </x:row>
    <x:row r="237">
      <x:c r="A237" t="n">
        <x:v>44136</x:v>
      </x:c>
      <x:c r="B237" s="12" t="n">
        <x:v>6728004</x:v>
      </x:c>
      <x:c r="C237" s="12" t="n">
        <x:v>19483516</x:v>
      </x:c>
      <x:c r="D237" s="12" t="n">
        <x:v>66718468</x:v>
      </x:c>
      <x:c r="E237" s="12" t="n">
        <x:v>7689341</x:v>
      </x:c>
      <x:c r="F237" s="12" t="n">
        <x:v>86201984</x:v>
      </x:c>
      <x:c r="G237" t="str">
        <x:v>Reeves</x:v>
      </x:c>
      <x:c r="H237" t="n">
        <x:v>2020</x:v>
      </x:c>
      <x:c r="I237" s="12" t="n">
        <x:v>14417345</x:v>
      </x:c>
      <x:c r="J237" s="14" t="n">
        <x:v>12.812415688218973</x:v>
      </x:c>
      <x:c r="K237" s="14" t="n">
        <x:v>5.979047043682454</x:v>
      </x:c>
    </x:row>
    <x:row r="238">
      <x:c r="A238" t="n">
        <x:v>44166</x:v>
      </x:c>
      <x:c r="B238" s="12" t="n">
        <x:v>6598781</x:v>
      </x:c>
      <x:c r="C238" s="12" t="n">
        <x:v>19896651</x:v>
      </x:c>
      <x:c r="D238" s="12" t="n">
        <x:v>66575501</x:v>
      </x:c>
      <x:c r="E238" s="12" t="n">
        <x:v>7892164</x:v>
      </x:c>
      <x:c r="F238" s="12" t="n">
        <x:v>86472152</x:v>
      </x:c>
      <x:c r="G238" t="str">
        <x:v>Reeves</x:v>
      </x:c>
      <x:c r="H238" t="n">
        <x:v>2020</x:v>
      </x:c>
      <x:c r="I238" s="12" t="n">
        <x:v>14490945</x:v>
      </x:c>
      <x:c r="J238" s="14" t="n">
        <x:v>13.10426152951583</x:v>
      </x:c>
      <x:c r="K238" s="14" t="n">
        <x:v>5.96732318009626</x:v>
      </x:c>
    </x:row>
    <x:row r="239">
      <x:c r="A239" t="n">
        <x:v>44197</x:v>
      </x:c>
      <x:c r="B239" s="12" t="n">
        <x:v>6716992</x:v>
      </x:c>
      <x:c r="C239" s="12" t="n">
        <x:v>18314111</x:v>
      </x:c>
      <x:c r="D239" s="12" t="n">
        <x:v>68085402</x:v>
      </x:c>
      <x:c r="E239" s="12" t="n">
        <x:v>8227051</x:v>
      </x:c>
      <x:c r="F239" s="12" t="n">
        <x:v>86399513</x:v>
      </x:c>
      <x:c r="G239" t="str">
        <x:v>Reeves</x:v>
      </x:c>
      <x:c r="H239" t="n">
        <x:v>2021</x:v>
      </x:c>
      <x:c r="I239" s="12" t="n">
        <x:v>14944043</x:v>
      </x:c>
      <x:c r="J239" s="14" t="n">
        <x:v>12.862828033738912</x:v>
      </x:c>
      <x:c r="K239" s="14" t="n">
        <x:v>5.781535358269513</x:v>
      </x:c>
    </x:row>
    <x:row r="240">
      <x:c r="A240" t="n">
        <x:v>44228</x:v>
      </x:c>
      <x:c r="B240" s="12" t="n">
        <x:v>5096673</x:v>
      </x:c>
      <x:c r="C240" s="12" t="n">
        <x:v>13320429</x:v>
      </x:c>
      <x:c r="D240" s="12" t="n">
        <x:v>53344132</x:v>
      </x:c>
      <x:c r="E240" s="12" t="n">
        <x:v>6364851</x:v>
      </x:c>
      <x:c r="F240" s="12" t="n">
        <x:v>66664561</x:v>
      </x:c>
      <x:c r="G240" t="str">
        <x:v>Reeves</x:v>
      </x:c>
      <x:c r="H240" t="n">
        <x:v>2021</x:v>
      </x:c>
      <x:c r="I240" s="12" t="n">
        <x:v>11461524</x:v>
      </x:c>
      <x:c r="J240" s="14" t="n">
        <x:v>13.080015335494352</x:v>
      </x:c>
      <x:c r="K240" s="14" t="n">
        <x:v>5.816378432745942</x:v>
      </x:c>
    </x:row>
    <x:row r="241">
      <x:c r="A241" t="n">
        <x:v>44256</x:v>
      </x:c>
      <x:c r="B241" s="12" t="n">
        <x:v>6688321</x:v>
      </x:c>
      <x:c r="C241" s="12" t="n">
        <x:v>18317454</x:v>
      </x:c>
      <x:c r="D241" s="12" t="n">
        <x:v>68841402</x:v>
      </x:c>
      <x:c r="E241" s="12" t="n">
        <x:v>7944136</x:v>
      </x:c>
      <x:c r="F241" s="12" t="n">
        <x:v>87158856</x:v>
      </x:c>
      <x:c r="G241" t="str">
        <x:v>Reeves</x:v>
      </x:c>
      <x:c r="H241" t="n">
        <x:v>2021</x:v>
      </x:c>
      <x:c r="I241" s="12" t="n">
        <x:v>14632457</x:v>
      </x:c>
      <x:c r="J241" s="14" t="n">
        <x:v>13.031500132843505</x:v>
      </x:c>
      <x:c r="K241" s="14" t="n">
        <x:v>5.956542773370186</x:v>
      </x:c>
    </x:row>
    <x:row r="242">
      <x:c r="A242" t="n">
        <x:v>44287</x:v>
      </x:c>
      <x:c r="B242" s="12" t="n">
        <x:v>6302707</x:v>
      </x:c>
      <x:c r="C242" s="12" t="n">
        <x:v>18456224</x:v>
      </x:c>
      <x:c r="D242" s="12" t="n">
        <x:v>69874506</x:v>
      </x:c>
      <x:c r="E242" s="12" t="n">
        <x:v>7616709</x:v>
      </x:c>
      <x:c r="F242" s="12" t="n">
        <x:v>88330730</x:v>
      </x:c>
      <x:c r="G242" t="str">
        <x:v>Reeves</x:v>
      </x:c>
      <x:c r="H242" t="n">
        <x:v>2021</x:v>
      </x:c>
      <x:c r="I242" s="12" t="n">
        <x:v>13919416</x:v>
      </x:c>
      <x:c r="J242" s="14" t="n">
        <x:v>14.014728909340066</x:v>
      </x:c>
      <x:c r="K242" s="14" t="n">
        <x:v>6.34586465409181</x:v>
      </x:c>
    </x:row>
    <x:row r="243">
      <x:c r="A243" t="n">
        <x:v>44317</x:v>
      </x:c>
      <x:c r="B243" s="12" t="n">
        <x:v>6692480</x:v>
      </x:c>
      <x:c r="C243" s="12" t="n">
        <x:v>20278750</x:v>
      </x:c>
      <x:c r="D243" s="12" t="n">
        <x:v>68825732</x:v>
      </x:c>
      <x:c r="E243" s="12" t="n">
        <x:v>7920296</x:v>
      </x:c>
      <x:c r="F243" s="12" t="n">
        <x:v>89104482</x:v>
      </x:c>
      <x:c r="G243" t="str">
        <x:v>Reeves</x:v>
      </x:c>
      <x:c r="H243" t="n">
        <x:v>2021</x:v>
      </x:c>
      <x:c r="I243" s="12" t="n">
        <x:v>14612776</x:v>
      </x:c>
      <x:c r="J243" s="14" t="n">
        <x:v>13.314120027254472</x:v>
      </x:c>
      <x:c r="K243" s="14" t="n">
        <x:v>6.09771079772933</x:v>
      </x:c>
    </x:row>
    <x:row r="244">
      <x:c r="A244" t="n">
        <x:v>44348</x:v>
      </x:c>
      <x:c r="B244" s="12" t="n">
        <x:v>6302618</x:v>
      </x:c>
      <x:c r="C244" s="12" t="n">
        <x:v>19550672</x:v>
      </x:c>
      <x:c r="D244" s="12" t="n">
        <x:v>66251987</x:v>
      </x:c>
      <x:c r="E244" s="12" t="n">
        <x:v>7535286</x:v>
      </x:c>
      <x:c r="F244" s="12" t="n">
        <x:v>85802659</x:v>
      </x:c>
      <x:c r="G244" t="str">
        <x:v>Reeves</x:v>
      </x:c>
      <x:c r="H244" t="n">
        <x:v>2021</x:v>
      </x:c>
      <x:c r="I244" s="12" t="n">
        <x:v>13837904</x:v>
      </x:c>
      <x:c r="J244" s="14" t="n">
        <x:v>13.613812387169903</x:v>
      </x:c>
      <x:c r="K244" s="14" t="n">
        <x:v>6.2005531329022086</x:v>
      </x:c>
    </x:row>
    <x:row r="245">
      <x:c r="A245" t="n">
        <x:v>44378</x:v>
      </x:c>
      <x:c r="B245" s="12" t="n">
        <x:v>6992176</x:v>
      </x:c>
      <x:c r="C245" s="12" t="n">
        <x:v>20431587</x:v>
      </x:c>
      <x:c r="D245" s="12" t="n">
        <x:v>70535354</x:v>
      </x:c>
      <x:c r="E245" s="12" t="n">
        <x:v>7837818</x:v>
      </x:c>
      <x:c r="F245" s="12" t="n">
        <x:v>90966941</x:v>
      </x:c>
      <x:c r="G245" t="str">
        <x:v>Reeves</x:v>
      </x:c>
      <x:c r="H245" t="n">
        <x:v>2021</x:v>
      </x:c>
      <x:c r="I245" s="12" t="n">
        <x:v>14829994</x:v>
      </x:c>
      <x:c r="J245" s="14" t="n">
        <x:v>13.00981854575743</x:v>
      </x:c>
      <x:c r="K245" s="14" t="n">
        <x:v>6.13398366850317</x:v>
      </x:c>
    </x:row>
    <x:row r="246">
      <x:c r="A246" t="n">
        <x:v>44409</x:v>
      </x:c>
      <x:c r="B246" s="12" t="n">
        <x:v>6609272</x:v>
      </x:c>
      <x:c r="C246" s="12" t="n">
        <x:v>20362283</x:v>
      </x:c>
      <x:c r="D246" s="12" t="n">
        <x:v>69037557</x:v>
      </x:c>
      <x:c r="E246" s="12" t="n">
        <x:v>7654751</x:v>
      </x:c>
      <x:c r="F246" s="12" t="n">
        <x:v>89399840</x:v>
      </x:c>
      <x:c r="G246" t="str">
        <x:v>Reeves</x:v>
      </x:c>
      <x:c r="H246" t="n">
        <x:v>2021</x:v>
      </x:c>
      <x:c r="I246" s="12" t="n">
        <x:v>14264023</x:v>
      </x:c>
      <x:c r="J246" s="14" t="n">
        <x:v>13.526427721540285</x:v>
      </x:c>
      <x:c r="K246" s="14" t="n">
        <x:v>6.267505317398886</x:v>
      </x:c>
    </x:row>
    <x:row r="247">
      <x:c r="A247" t="n">
        <x:v>44440</x:v>
      </x:c>
      <x:c r="B247" s="12" t="n">
        <x:v>6273899</x:v>
      </x:c>
      <x:c r="C247" s="12" t="n">
        <x:v>19897118</x:v>
      </x:c>
      <x:c r="D247" s="12" t="n">
        <x:v>68500026</x:v>
      </x:c>
      <x:c r="E247" s="12" t="n">
        <x:v>8065873</x:v>
      </x:c>
      <x:c r="F247" s="12" t="n">
        <x:v>88397144</x:v>
      </x:c>
      <x:c r="G247" t="str">
        <x:v>Reeves</x:v>
      </x:c>
      <x:c r="H247" t="n">
        <x:v>2021</x:v>
      </x:c>
      <x:c r="I247" s="12" t="n">
        <x:v>14339772</x:v>
      </x:c>
      <x:c r="J247" s="14" t="n">
        <x:v>14.089666409994805</x:v>
      </x:c>
      <x:c r="K247" s="14" t="n">
        <x:v>6.164473465826374</x:v>
      </x:c>
    </x:row>
    <x:row r="248">
      <x:c r="A248" t="n">
        <x:v>44470</x:v>
      </x:c>
      <x:c r="B248" s="12" t="n">
        <x:v>6402788</x:v>
      </x:c>
      <x:c r="C248" s="12" t="n">
        <x:v>20336655</x:v>
      </x:c>
      <x:c r="D248" s="12" t="n">
        <x:v>70933348</x:v>
      </x:c>
      <x:c r="E248" s="12" t="n">
        <x:v>8502368</x:v>
      </x:c>
      <x:c r="F248" s="12" t="n">
        <x:v>91270003</x:v>
      </x:c>
      <x:c r="G248" t="str">
        <x:v>Reeves</x:v>
      </x:c>
      <x:c r="H248" t="n">
        <x:v>2021</x:v>
      </x:c>
      <x:c r="I248" s="12" t="n">
        <x:v>14905156</x:v>
      </x:c>
      <x:c r="J248" s="14" t="n">
        <x:v>14.254728252754894</x:v>
      </x:c>
      <x:c r="K248" s="14" t="n">
        <x:v>6.123384619389425</x:v>
      </x:c>
    </x:row>
    <x:row r="249">
      <x:c r="A249" t="n">
        <x:v>44501</x:v>
      </x:c>
      <x:c r="B249" s="12" t="n">
        <x:v>6278642</x:v>
      </x:c>
      <x:c r="C249" s="12" t="n">
        <x:v>18694517</x:v>
      </x:c>
      <x:c r="D249" s="12" t="n">
        <x:v>68848372</x:v>
      </x:c>
      <x:c r="E249" s="12" t="n">
        <x:v>8257975</x:v>
      </x:c>
      <x:c r="F249" s="12" t="n">
        <x:v>87542889</x:v>
      </x:c>
      <x:c r="G249" t="str">
        <x:v>Reeves</x:v>
      </x:c>
      <x:c r="H249" t="n">
        <x:v>2021</x:v>
      </x:c>
      <x:c r="I249" s="12" t="n">
        <x:v>14536617</x:v>
      </x:c>
      <x:c r="J249" s="14" t="n">
        <x:v>13.942965532992645</x:v>
      </x:c>
      <x:c r="K249" s="14" t="n">
        <x:v>6.02223261436963</x:v>
      </x:c>
    </x:row>
    <x:row r="250">
      <x:c r="A250" t="n">
        <x:v>44531</x:v>
      </x:c>
      <x:c r="B250" s="12" t="n">
        <x:v>6468282</x:v>
      </x:c>
      <x:c r="C250" s="12" t="n">
        <x:v>19782895</x:v>
      </x:c>
      <x:c r="D250" s="12" t="n">
        <x:v>71612292</x:v>
      </x:c>
      <x:c r="E250" s="12" t="n">
        <x:v>8501441</x:v>
      </x:c>
      <x:c r="F250" s="12" t="n">
        <x:v>91395187</x:v>
      </x:c>
      <x:c r="G250" t="str">
        <x:v>Reeves</x:v>
      </x:c>
      <x:c r="H250" t="n">
        <x:v>2021</x:v>
      </x:c>
      <x:c r="I250" s="12" t="n">
        <x:v>14969723</x:v>
      </x:c>
      <x:c r="J250" s="14" t="n">
        <x:v>14.129746816851831</x:v>
      </x:c>
      <x:c r="K250" s="14" t="n">
        <x:v>6.105335883636591</x:v>
      </x:c>
    </x:row>
    <x:row r="251">
      <x:c r="A251" t="n">
        <x:v>44562</x:v>
      </x:c>
      <x:c r="B251" s="12" t="n">
        <x:v>6184081</x:v>
      </x:c>
      <x:c r="C251" s="12" t="n">
        <x:v>18445409</x:v>
      </x:c>
      <x:c r="D251" s="12" t="n">
        <x:v>69801634</x:v>
      </x:c>
      <x:c r="E251" s="12" t="n">
        <x:v>8075106</x:v>
      </x:c>
      <x:c r="F251" s="12" t="n">
        <x:v>88247043</x:v>
      </x:c>
      <x:c r="G251" t="str">
        <x:v>Reeves</x:v>
      </x:c>
      <x:c r="H251" t="n">
        <x:v>2022</x:v>
      </x:c>
      <x:c r="I251" s="12" t="n">
        <x:v>14259187</x:v>
      </x:c>
      <x:c r="J251" s="14" t="n">
        <x:v>14.270033494063224</x:v>
      </x:c>
      <x:c r="K251" s="14" t="n">
        <x:v>6.188785026804123</x:v>
      </x:c>
    </x:row>
    <x:row r="252">
      <x:c r="A252" t="n">
        <x:v>44593</x:v>
      </x:c>
      <x:c r="B252" s="12" t="n">
        <x:v>5485306</x:v>
      </x:c>
      <x:c r="C252" s="12" t="n">
        <x:v>16252549</x:v>
      </x:c>
      <x:c r="D252" s="12" t="n">
        <x:v>64378578</x:v>
      </x:c>
      <x:c r="E252" s="12" t="n">
        <x:v>7374882</x:v>
      </x:c>
      <x:c r="F252" s="12" t="n">
        <x:v>80631127</x:v>
      </x:c>
      <x:c r="G252" t="str">
        <x:v>Reeves</x:v>
      </x:c>
      <x:c r="H252" t="n">
        <x:v>2022</x:v>
      </x:c>
      <x:c r="I252" s="12" t="n">
        <x:v>12860188</x:v>
      </x:c>
      <x:c r="J252" s="14" t="n">
        <x:v>14.699476565208942</x:v>
      </x:c>
      <x:c r="K252" s="14" t="n">
        <x:v>6.269824904581489</x:v>
      </x:c>
    </x:row>
    <x:row r="253">
      <x:c r="A253" t="n">
        <x:v>44621</x:v>
      </x:c>
      <x:c r="B253" s="12" t="n">
        <x:v>6604403</x:v>
      </x:c>
      <x:c r="C253" s="12" t="n">
        <x:v>19093233</x:v>
      </x:c>
      <x:c r="D253" s="12" t="n">
        <x:v>75693439</x:v>
      </x:c>
      <x:c r="E253" s="12" t="n">
        <x:v>8855052</x:v>
      </x:c>
      <x:c r="F253" s="12" t="n">
        <x:v>94786672</x:v>
      </x:c>
      <x:c r="G253" t="str">
        <x:v>Reeves</x:v>
      </x:c>
      <x:c r="H253" t="n">
        <x:v>2022</x:v>
      </x:c>
      <x:c r="I253" s="12" t="n">
        <x:v>15459455</x:v>
      </x:c>
      <x:c r="J253" s="14" t="n">
        <x:v>14.352042417762817</x:v>
      </x:c>
      <x:c r="K253" s="14" t="n">
        <x:v>6.131307474940093</x:v>
      </x:c>
    </x:row>
    <x:row r="254">
      <x:c r="A254" t="n">
        <x:v>44652</x:v>
      </x:c>
      <x:c r="B254" s="12" t="n">
        <x:v>6357448</x:v>
      </x:c>
      <x:c r="C254" s="12" t="n">
        <x:v>19073228</x:v>
      </x:c>
      <x:c r="D254" s="12" t="n">
        <x:v>73889762</x:v>
      </x:c>
      <x:c r="E254" s="12" t="n">
        <x:v>8502082</x:v>
      </x:c>
      <x:c r="F254" s="12" t="n">
        <x:v>92962990</x:v>
      </x:c>
      <x:c r="G254" t="str">
        <x:v>Reeves</x:v>
      </x:c>
      <x:c r="H254" t="n">
        <x:v>2022</x:v>
      </x:c>
      <x:c r="I254" s="12" t="n">
        <x:v>14859530</x:v>
      </x:c>
      <x:c r="J254" s="14" t="n">
        <x:v>14.622689796283037</x:v>
      </x:c>
      <x:c r="K254" s="14" t="n">
        <x:v>6.256119137011736</x:v>
      </x:c>
    </x:row>
    <x:row r="255">
      <x:c r="A255" t="n">
        <x:v>44682</x:v>
      </x:c>
      <x:c r="B255" s="12" t="n">
        <x:v>6447990</x:v>
      </x:c>
      <x:c r="C255" s="12" t="n">
        <x:v>19774905</x:v>
      </x:c>
      <x:c r="D255" s="12" t="n">
        <x:v>74180756</x:v>
      </x:c>
      <x:c r="E255" s="12" t="n">
        <x:v>8284728</x:v>
      </x:c>
      <x:c r="F255" s="12" t="n">
        <x:v>93955661</x:v>
      </x:c>
      <x:c r="G255" t="str">
        <x:v>Reeves</x:v>
      </x:c>
      <x:c r="H255" t="n">
        <x:v>2022</x:v>
      </x:c>
      <x:c r="I255" s="12" t="n">
        <x:v>14732718</x:v>
      </x:c>
      <x:c r="J255" s="14" t="n">
        <x:v>14.571309974115964</x:v>
      </x:c>
      <x:c r="K255" s="14" t="n">
        <x:v>6.377347411387363</x:v>
      </x:c>
    </x:row>
    <x:row r="256">
      <x:c r="A256" t="n">
        <x:v>44713</x:v>
      </x:c>
      <x:c r="B256" s="12" t="n">
        <x:v>6201279</x:v>
      </x:c>
      <x:c r="C256" s="12" t="n">
        <x:v>18673514</x:v>
      </x:c>
      <x:c r="D256" s="12" t="n">
        <x:v>71533015</x:v>
      </x:c>
      <x:c r="E256" s="12" t="n">
        <x:v>8002844</x:v>
      </x:c>
      <x:c r="F256" s="12" t="n">
        <x:v>90206529</x:v>
      </x:c>
      <x:c r="G256" t="str">
        <x:v>Reeves</x:v>
      </x:c>
      <x:c r="H256" t="n">
        <x:v>2022</x:v>
      </x:c>
      <x:c r="I256" s="12" t="n">
        <x:v>14204123</x:v>
      </x:c>
      <x:c r="J256" s="14" t="n">
        <x:v>14.546439371619952</x:v>
      </x:c>
      <x:c r="K256" s="14" t="n">
        <x:v>6.350728517346688</x:v>
      </x:c>
    </x:row>
    <x:row r="257">
      <x:c r="A257" t="n">
        <x:v>44743</x:v>
      </x:c>
      <x:c r="B257" s="12" t="n">
        <x:v>6625496</x:v>
      </x:c>
      <x:c r="C257" s="12" t="n">
        <x:v>19663164</x:v>
      </x:c>
      <x:c r="D257" s="12" t="n">
        <x:v>73949834</x:v>
      </x:c>
      <x:c r="E257" s="12" t="n">
        <x:v>8210086</x:v>
      </x:c>
      <x:c r="F257" s="12" t="n">
        <x:v>93612998</x:v>
      </x:c>
      <x:c r="G257" t="str">
        <x:v>Reeves</x:v>
      </x:c>
      <x:c r="H257" t="n">
        <x:v>2022</x:v>
      </x:c>
      <x:c r="I257" s="12" t="n">
        <x:v>14835582</x:v>
      </x:c>
      <x:c r="J257" s="14" t="n">
        <x:v>14.1292060247263</x:v>
      </x:c>
      <x:c r="K257" s="14" t="n">
        <x:v>6.31003205671338</x:v>
      </x:c>
    </x:row>
    <x:row r="258">
      <x:c r="A258" t="n">
        <x:v>44774</x:v>
      </x:c>
      <x:c r="B258" s="12" t="n">
        <x:v>6293764</x:v>
      </x:c>
      <x:c r="C258" s="12" t="n">
        <x:v>18948245</x:v>
      </x:c>
      <x:c r="D258" s="12" t="n">
        <x:v>75126742</x:v>
      </x:c>
      <x:c r="E258" s="12" t="n">
        <x:v>8389707</x:v>
      </x:c>
      <x:c r="F258" s="12" t="n">
        <x:v>94074987</x:v>
      </x:c>
      <x:c r="G258" t="str">
        <x:v>Reeves</x:v>
      </x:c>
      <x:c r="H258" t="n">
        <x:v>2022</x:v>
      </x:c>
      <x:c r="I258" s="12" t="n">
        <x:v>14683471</x:v>
      </x:c>
      <x:c r="J258" s="14" t="n">
        <x:v>14.94733310623023</x:v>
      </x:c>
      <x:c r="K258" s="14" t="n">
        <x:v>6.406862995813456</x:v>
      </x:c>
    </x:row>
    <x:row r="259">
      <x:c r="A259" t="n">
        <x:v>44805</x:v>
      </x:c>
      <x:c r="B259" s="12" t="n">
        <x:v>6031374</x:v>
      </x:c>
      <x:c r="C259" s="12" t="n">
        <x:v>18699273</x:v>
      </x:c>
      <x:c r="D259" s="12" t="n">
        <x:v>74687150</x:v>
      </x:c>
      <x:c r="E259" s="12" t="n">
        <x:v>8315445</x:v>
      </x:c>
      <x:c r="F259" s="12" t="n">
        <x:v>93386423</x:v>
      </x:c>
      <x:c r="G259" t="str">
        <x:v>Reeves</x:v>
      </x:c>
      <x:c r="H259" t="n">
        <x:v>2022</x:v>
      </x:c>
      <x:c r="I259" s="12" t="n">
        <x:v>14346819</x:v>
      </x:c>
      <x:c r="J259" s="14" t="n">
        <x:v>15.483440920758687</x:v>
      </x:c>
      <x:c r="K259" s="14" t="n">
        <x:v>6.509207581136975</x:v>
      </x:c>
    </x:row>
    <x:row r="260">
      <x:c r="A260" t="n">
        <x:v>44835</x:v>
      </x:c>
      <x:c r="B260" s="12" t="n">
        <x:v>6302722</x:v>
      </x:c>
      <x:c r="C260" s="12" t="n">
        <x:v>19221126</x:v>
      </x:c>
      <x:c r="D260" s="12" t="n">
        <x:v>74431641</x:v>
      </x:c>
      <x:c r="E260" s="12" t="n">
        <x:v>7934900</x:v>
      </x:c>
      <x:c r="F260" s="12" t="n">
        <x:v>93652767</x:v>
      </x:c>
      <x:c r="G260" t="str">
        <x:v>Reeves</x:v>
      </x:c>
      <x:c r="H260" t="n">
        <x:v>2022</x:v>
      </x:c>
      <x:c r="I260" s="12" t="n">
        <x:v>14237622</x:v>
      </x:c>
      <x:c r="J260" s="14" t="n">
        <x:v>14.85909849744285</x:v>
      </x:c>
      <x:c r="K260" s="14" t="n">
        <x:v>6.577837717562666</x:v>
      </x:c>
    </x:row>
    <x:row r="261">
      <x:c r="A261" t="n">
        <x:v>44866</x:v>
      </x:c>
      <x:c r="B261" s="12" t="n">
        <x:v>6121136</x:v>
      </x:c>
      <x:c r="C261" s="12" t="n">
        <x:v>18169586</x:v>
      </x:c>
      <x:c r="D261" s="12" t="n">
        <x:v>69269503</x:v>
      </x:c>
      <x:c r="E261" s="12" t="n">
        <x:v>7570849</x:v>
      </x:c>
      <x:c r="F261" s="12" t="n">
        <x:v>87439089</x:v>
      </x:c>
      <x:c r="G261" t="str">
        <x:v>Reeves</x:v>
      </x:c>
      <x:c r="H261" t="n">
        <x:v>2022</x:v>
      </x:c>
      <x:c r="I261" s="12" t="n">
        <x:v>13691985</x:v>
      </x:c>
      <x:c r="J261" s="14" t="n">
        <x:v>14.284781288963355</x:v>
      </x:c>
      <x:c r="K261" s="14" t="n">
        <x:v>6.3861513871071285</x:v>
      </x:c>
    </x:row>
    <x:row r="262">
      <x:c r="A262" t="n">
        <x:v>44896</x:v>
      </x:c>
      <x:c r="B262" s="12" t="n">
        <x:v>6410577</x:v>
      </x:c>
      <x:c r="C262" s="12" t="n">
        <x:v>18141655</x:v>
      </x:c>
      <x:c r="D262" s="12" t="n">
        <x:v>69231583</x:v>
      </x:c>
      <x:c r="E262" s="12" t="n">
        <x:v>7817814</x:v>
      </x:c>
      <x:c r="F262" s="12" t="n">
        <x:v>87373238</x:v>
      </x:c>
      <x:c r="G262" t="str">
        <x:v>Reeves</x:v>
      </x:c>
      <x:c r="H262" t="n">
        <x:v>2022</x:v>
      </x:c>
      <x:c r="I262" s="12" t="n">
        <x:v>14228391</x:v>
      </x:c>
      <x:c r="J262" s="14" t="n">
        <x:v>13.629543487271114</x:v>
      </x:c>
      <x:c r="K262" s="14" t="n">
        <x:v>6.140767287038991</x:v>
      </x:c>
    </x:row>
    <x:row r="263">
      <x:c r="A263" t="n">
        <x:v>44927</x:v>
      </x:c>
      <x:c r="B263" s="12" t="n">
        <x:v>6603221</x:v>
      </x:c>
      <x:c r="C263" s="12" t="n">
        <x:v>18271244</x:v>
      </x:c>
      <x:c r="D263" s="12" t="n">
        <x:v>72441768</x:v>
      </x:c>
      <x:c r="E263" s="12" t="n">
        <x:v>8247226</x:v>
      </x:c>
      <x:c r="F263" s="12" t="n">
        <x:v>90713012</x:v>
      </x:c>
      <x:c r="G263" t="str">
        <x:v>Reeves</x:v>
      </x:c>
      <x:c r="H263" t="n">
        <x:v>2023</x:v>
      </x:c>
      <x:c r="I263" s="12" t="n">
        <x:v>14850447</x:v>
      </x:c>
      <x:c r="J263" s="14" t="n">
        <x:v>13.737691347904303</x:v>
      </x:c>
      <x:c r="K263" s="14" t="n">
        <x:v>6.108436466592554</x:v>
      </x:c>
    </x:row>
    <x:row r="264">
      <x:c r="A264" t="n">
        <x:v>44958</x:v>
      </x:c>
      <x:c r="B264" s="12" t="n">
        <x:v>5883131</x:v>
      </x:c>
      <x:c r="C264" s="12" t="n">
        <x:v>16474445</x:v>
      </x:c>
      <x:c r="D264" s="12" t="n">
        <x:v>65090203</x:v>
      </x:c>
      <x:c r="E264" s="12" t="n">
        <x:v>7316517</x:v>
      </x:c>
      <x:c r="F264" s="12" t="n">
        <x:v>81564648</x:v>
      </x:c>
      <x:c r="G264" t="str">
        <x:v>Reeves</x:v>
      </x:c>
      <x:c r="H264" t="n">
        <x:v>2023</x:v>
      </x:c>
      <x:c r="I264" s="12" t="n">
        <x:v>13199648</x:v>
      </x:c>
      <x:c r="J264" s="14" t="n">
        <x:v>13.864156348039845</x:v>
      </x:c>
      <x:c r="K264" s="14" t="n">
        <x:v>6.179304781460839</x:v>
      </x:c>
    </x:row>
    <x:row r="265">
      <x:c r="A265" t="n">
        <x:v>44986</x:v>
      </x:c>
      <x:c r="B265" s="12" t="n">
        <x:v>6687743</x:v>
      </x:c>
      <x:c r="C265" s="12" t="n">
        <x:v>19637153</x:v>
      </x:c>
      <x:c r="D265" s="12" t="n">
        <x:v>73609661</x:v>
      </x:c>
      <x:c r="E265" s="12" t="n">
        <x:v>8276280</x:v>
      </x:c>
      <x:c r="F265" s="12" t="n">
        <x:v>93246814</x:v>
      </x:c>
      <x:c r="G265" t="str">
        <x:v>Reeves</x:v>
      </x:c>
      <x:c r="H265" t="n">
        <x:v>2023</x:v>
      </x:c>
      <x:c r="I265" s="12" t="n">
        <x:v>14964023</x:v>
      </x:c>
      <x:c r="J265" s="14" t="n">
        <x:v>13.94294218542788</x:v>
      </x:c>
      <x:c r="K265" s="14" t="n">
        <x:v>6.231400072026085</x:v>
      </x:c>
    </x:row>
    <x:row r="266">
      <x:c r="A266" t="n">
        <x:v>45017</x:v>
      </x:c>
      <x:c r="B266" s="12" t="n">
        <x:v>6831583</x:v>
      </x:c>
      <x:c r="C266" s="12" t="n">
        <x:v>20373772</x:v>
      </x:c>
      <x:c r="D266" s="12" t="n">
        <x:v>71238627</x:v>
      </x:c>
      <x:c r="E266" s="12" t="n">
        <x:v>7794190</x:v>
      </x:c>
      <x:c r="F266" s="12" t="n">
        <x:v>91612399</x:v>
      </x:c>
      <x:c r="G266" t="str">
        <x:v>Reeves</x:v>
      </x:c>
      <x:c r="H266" t="n">
        <x:v>2023</x:v>
      </x:c>
      <x:c r="I266" s="12" t="n">
        <x:v>14625773</x:v>
      </x:c>
      <x:c r="J266" s="14" t="n">
        <x:v>13.410127491680917</x:v>
      </x:c>
      <x:c r="K266" s="14" t="n">
        <x:v>6.263764588716097</x:v>
      </x:c>
    </x:row>
    <x:row r="267">
      <x:c r="A267" t="n">
        <x:v>45047</x:v>
      </x:c>
      <x:c r="B267" s="12" t="n">
        <x:v>7079053</x:v>
      </x:c>
      <x:c r="C267" s="12" t="n">
        <x:v>20340978</x:v>
      </x:c>
      <x:c r="D267" s="12" t="n">
        <x:v>75250591</x:v>
      </x:c>
      <x:c r="E267" s="12" t="n">
        <x:v>8343866</x:v>
      </x:c>
      <x:c r="F267" s="12" t="n">
        <x:v>95591569</x:v>
      </x:c>
      <x:c r="G267" t="str">
        <x:v>Reeves</x:v>
      </x:c>
      <x:c r="H267" t="n">
        <x:v>2023</x:v>
      </x:c>
      <x:c r="I267" s="12" t="n">
        <x:v>15422919</x:v>
      </x:c>
      <x:c r="J267" s="14" t="n">
        <x:v>13.503440220040732</x:v>
      </x:c>
      <x:c r="K267" s="14" t="n">
        <x:v>6.198020556290285</x:v>
      </x:c>
    </x:row>
    <x:row r="268">
      <x:c r="A268" t="n">
        <x:v>45078</x:v>
      </x:c>
      <x:c r="B268" s="12" t="n">
        <x:v>6547320</x:v>
      </x:c>
      <x:c r="C268" s="12" t="n">
        <x:v>19969481</x:v>
      </x:c>
      <x:c r="D268" s="12" t="n">
        <x:v>71171571</x:v>
      </x:c>
      <x:c r="E268" s="12" t="n">
        <x:v>7777973</x:v>
      </x:c>
      <x:c r="F268" s="12" t="n">
        <x:v>91141052</x:v>
      </x:c>
      <x:c r="G268" t="str">
        <x:v>Reeves</x:v>
      </x:c>
      <x:c r="H268" t="n">
        <x:v>2023</x:v>
      </x:c>
      <x:c r="I268" s="12" t="n">
        <x:v>14325293</x:v>
      </x:c>
      <x:c r="J268" s="14" t="n">
        <x:v>13.920360086264303</x:v>
      </x:c>
      <x:c r="K268" s="14" t="n">
        <x:v>6.362246971143976</x:v>
      </x:c>
    </x:row>
    <x:row r="269">
      <x:c r="A269" t="n">
        <x:v>45108</x:v>
      </x:c>
      <x:c r="B269" s="12" t="n">
        <x:v>6606741</x:v>
      </x:c>
      <x:c r="C269" s="12" t="n">
        <x:v>20392003</x:v>
      </x:c>
      <x:c r="D269" s="12" t="n">
        <x:v>73840228</x:v>
      </x:c>
      <x:c r="E269" s="12" t="n">
        <x:v>8243458</x:v>
      </x:c>
      <x:c r="F269" s="12" t="n">
        <x:v>94232231</x:v>
      </x:c>
      <x:c r="G269" t="str">
        <x:v>Reeves</x:v>
      </x:c>
      <x:c r="H269" t="n">
        <x:v>2023</x:v>
      </x:c>
      <x:c r="I269" s="12" t="n">
        <x:v>14850199</x:v>
      </x:c>
      <x:c r="J269" s="14" t="n">
        <x:v>14.263043004107471</x:v>
      </x:c>
      <x:c r="K269" s="14" t="n">
        <x:v>6.345519746907096</x:v>
      </x:c>
    </x:row>
    <x:row r="270">
      <x:c r="A270" t="n">
        <x:v>45139</x:v>
      </x:c>
      <x:c r="B270" s="12" t="n">
        <x:v>6855920</x:v>
      </x:c>
      <x:c r="C270" s="12" t="n">
        <x:v>20979450</x:v>
      </x:c>
      <x:c r="D270" s="12" t="n">
        <x:v>79281200</x:v>
      </x:c>
      <x:c r="E270" s="12" t="n">
        <x:v>8863518</x:v>
      </x:c>
      <x:c r="F270" s="12" t="n">
        <x:v>100260650</x:v>
      </x:c>
      <x:c r="G270" t="str">
        <x:v>Reeves</x:v>
      </x:c>
      <x:c r="H270" t="n">
        <x:v>2023</x:v>
      </x:c>
      <x:c r="I270" s="12" t="n">
        <x:v>15719438</x:v>
      </x:c>
      <x:c r="J270" s="14" t="n">
        <x:v>14.623952729903499</x:v>
      </x:c>
      <x:c r="K270" s="14" t="n">
        <x:v>6.378131966295487</x:v>
      </x:c>
    </x:row>
    <x:row r="271">
      <x:c r="A271" t="n">
        <x:v>45170</x:v>
      </x:c>
      <x:c r="B271" s="12" t="n">
        <x:v>7147765</x:v>
      </x:c>
      <x:c r="C271" s="12" t="n">
        <x:v>21498930</x:v>
      </x:c>
      <x:c r="D271" s="12" t="n">
        <x:v>77617679</x:v>
      </x:c>
      <x:c r="E271" s="12" t="n">
        <x:v>8667573</x:v>
      </x:c>
      <x:c r="F271" s="12" t="n">
        <x:v>99116609</x:v>
      </x:c>
      <x:c r="G271" t="str">
        <x:v>Reeves</x:v>
      </x:c>
      <x:c r="H271" t="n">
        <x:v>2023</x:v>
      </x:c>
      <x:c r="I271" s="12" t="n">
        <x:v>15815338</x:v>
      </x:c>
      <x:c r="J271" s="14" t="n">
        <x:v>13.866797383517785</x:v>
      </x:c>
      <x:c r="K271" s="14" t="n">
        <x:v>6.267119235769732</x:v>
      </x:c>
    </x:row>
    <x:row r="272">
      <x:c r="A272" t="n">
        <x:v>45200</x:v>
      </x:c>
      <x:c r="B272" s="12" t="n">
        <x:v>7240472</x:v>
      </x:c>
      <x:c r="C272" s="12" t="n">
        <x:v>21505476</x:v>
      </x:c>
      <x:c r="D272" s="12" t="n">
        <x:v>80667051</x:v>
      </x:c>
      <x:c r="E272" s="12" t="n">
        <x:v>8936670</x:v>
      </x:c>
      <x:c r="F272" s="12" t="n">
        <x:v>102172527</x:v>
      </x:c>
      <x:c r="G272" t="str">
        <x:v>Reeves</x:v>
      </x:c>
      <x:c r="H272" t="n">
        <x:v>2023</x:v>
      </x:c>
      <x:c r="I272" s="12" t="n">
        <x:v>16177142</x:v>
      </x:c>
      <x:c r="J272" s="14" t="n">
        <x:v>14.111307522493009</x:v>
      </x:c>
      <x:c r="K272" s="14" t="n">
        <x:v>6.315857708364061</x:v>
      </x:c>
    </x:row>
    <x:row r="273">
      <x:c r="A273" t="n">
        <x:v>45231</x:v>
      </x:c>
      <x:c r="B273" s="12" t="n">
        <x:v>6725550</x:v>
      </x:c>
      <x:c r="C273" s="12" t="n">
        <x:v>19714447</x:v>
      </x:c>
      <x:c r="D273" s="12" t="n">
        <x:v>75572023</x:v>
      </x:c>
      <x:c r="E273" s="12" t="n">
        <x:v>8400762</x:v>
      </x:c>
      <x:c r="F273" s="12" t="n">
        <x:v>95286470</x:v>
      </x:c>
      <x:c r="G273" t="str">
        <x:v>Reeves</x:v>
      </x:c>
      <x:c r="H273" t="n">
        <x:v>2023</x:v>
      </x:c>
      <x:c r="I273" s="12" t="n">
        <x:v>15126312</x:v>
      </x:c>
      <x:c r="J273" s="14" t="n">
        <x:v>14.167833114020414</x:v>
      </x:c>
      <x:c r="K273" s="14" t="n">
        <x:v>6.299385468182859</x:v>
      </x:c>
    </x:row>
    <x:row r="274">
      <x:c r="A274" t="n">
        <x:v>45261</x:v>
      </x:c>
      <x:c r="B274" s="12" t="n">
        <x:v>6762528</x:v>
      </x:c>
      <x:c r="C274" s="12" t="n">
        <x:v>20983563</x:v>
      </x:c>
      <x:c r="D274" s="12" t="n">
        <x:v>79918929</x:v>
      </x:c>
      <x:c r="E274" s="12" t="n">
        <x:v>8862584</x:v>
      </x:c>
      <x:c r="F274" s="12" t="n">
        <x:v>100902492</x:v>
      </x:c>
      <x:c r="G274" t="str">
        <x:v>Reeves</x:v>
      </x:c>
      <x:c r="H274" t="n">
        <x:v>2023</x:v>
      </x:c>
      <x:c r="I274" s="12" t="n">
        <x:v>15625112</x:v>
      </x:c>
      <x:c r="J274" s="14" t="n">
        <x:v>14.920824283463226</x:v>
      </x:c>
      <x:c r="K274" s="14" t="n">
        <x:v>6.457713199111788</x:v>
      </x:c>
    </x:row>
    <x:row r="275">
      <x:c r="A275" t="n">
        <x:v>45292</x:v>
      </x:c>
      <x:c r="B275" s="12" t="n">
        <x:v>6784354</x:v>
      </x:c>
      <x:c r="C275" s="12" t="n">
        <x:v>20385045</x:v>
      </x:c>
      <x:c r="D275" s="12" t="n">
        <x:v>77922610</x:v>
      </x:c>
      <x:c r="E275" s="12" t="n">
        <x:v>8301653</x:v>
      </x:c>
      <x:c r="F275" s="12" t="n">
        <x:v>98307655</x:v>
      </x:c>
      <x:c r="G275" t="str">
        <x:v>Reeves</x:v>
      </x:c>
      <x:c r="H275" t="n">
        <x:v>2024</x:v>
      </x:c>
      <x:c r="I275" s="12" t="n">
        <x:v>15086007</x:v>
      </x:c>
      <x:c r="J275" s="14" t="n">
        <x:v>14.490348675791386</x:v>
      </x:c>
      <x:c r="K275" s="14" t="n">
        <x:v>6.516479476643489</x:v>
      </x:c>
    </x:row>
    <x:row r="276">
      <x:c r="A276" t="n">
        <x:v>45323</x:v>
      </x:c>
      <x:c r="B276" s="12" t="n">
        <x:v>6381595</x:v>
      </x:c>
      <x:c r="C276" s="12" t="n">
        <x:v>19311198</x:v>
      </x:c>
      <x:c r="D276" s="12" t="n">
        <x:v>69040707</x:v>
      </x:c>
      <x:c r="E276" s="12" t="n">
        <x:v>7778398</x:v>
      </x:c>
      <x:c r="F276" s="12" t="n">
        <x:v>88351905</x:v>
      </x:c>
      <x:c r="G276" t="str">
        <x:v>Reeves</x:v>
      </x:c>
      <x:c r="H276" t="n">
        <x:v>2024</x:v>
      </x:c>
      <x:c r="I276" s="12" t="n">
        <x:v>14159993</x:v>
      </x:c>
      <x:c r="J276" s="14" t="n">
        <x:v>13.844799771843872</x:v>
      </x:c>
      <x:c r="K276" s="14" t="n">
        <x:v>6.2395443980798575</x:v>
      </x:c>
    </x:row>
    <x:row r="277">
      <x:c r="A277" t="n">
        <x:v>45352</x:v>
      </x:c>
      <x:c r="B277" s="12" t="n">
        <x:v>7142201</x:v>
      </x:c>
      <x:c r="C277" s="12" t="n">
        <x:v>21172414</x:v>
      </x:c>
      <x:c r="D277" s="12" t="n">
        <x:v>75006312</x:v>
      </x:c>
      <x:c r="E277" s="12" t="n">
        <x:v>8361834</x:v>
      </x:c>
      <x:c r="F277" s="12" t="n">
        <x:v>96178726</x:v>
      </x:c>
      <x:c r="G277" t="str">
        <x:v>Reeves</x:v>
      </x:c>
      <x:c r="H277" t="n">
        <x:v>2024</x:v>
      </x:c>
      <x:c r="I277" s="12" t="n">
        <x:v>15504035</x:v>
      </x:c>
      <x:c r="J277" s="14" t="n">
        <x:v>13.466258650519636</x:v>
      </x:c>
      <x:c r="K277" s="14" t="n">
        <x:v>6.2034641949660205</x:v>
      </x:c>
    </x:row>
    <x:row r="278">
      <x:c r="A278" t="n">
        <x:v>45383</x:v>
      </x:c>
      <x:c r="B278" s="12" t="n">
        <x:v>7074090</x:v>
      </x:c>
      <x:c r="C278" s="12" t="n">
        <x:v>20886377</x:v>
      </x:c>
      <x:c r="D278" s="12" t="n">
        <x:v>72722228</x:v>
      </x:c>
      <x:c r="E278" s="12" t="n">
        <x:v>8513599</x:v>
      </x:c>
      <x:c r="F278" s="12" t="n">
        <x:v>93608605</x:v>
      </x:c>
      <x:c r="G278" t="str">
        <x:v>Reeves</x:v>
      </x:c>
      <x:c r="H278" t="n">
        <x:v>2024</x:v>
      </x:c>
      <x:c r="I278" s="12" t="n">
        <x:v>15587689</x:v>
      </x:c>
      <x:c r="J278" s="14" t="n">
        <x:v>13.232600235507324</x:v>
      </x:c>
      <x:c r="K278" s="14" t="n">
        <x:v>6.005290777869638</x:v>
      </x:c>
    </x:row>
    <x:row r="279">
      <x:c r="A279" t="n">
        <x:v>45413</x:v>
      </x:c>
      <x:c r="B279" s="12" t="n">
        <x:v>7414600</x:v>
      </x:c>
      <x:c r="C279" s="12" t="n">
        <x:v>21992900</x:v>
      </x:c>
      <x:c r="D279" s="12" t="n">
        <x:v>76601960</x:v>
      </x:c>
      <x:c r="E279" s="12" t="n">
        <x:v>8954292</x:v>
      </x:c>
      <x:c r="F279" s="12" t="n">
        <x:v>98594860</x:v>
      </x:c>
      <x:c r="G279" t="str">
        <x:v>Reeves</x:v>
      </x:c>
      <x:c r="H279" t="n">
        <x:v>2024</x:v>
      </x:c>
      <x:c r="I279" s="12" t="n">
        <x:v>16368892</x:v>
      </x:c>
      <x:c r="J279" s="14" t="n">
        <x:v>13.297394330105467</x:v>
      </x:c>
      <x:c r="K279" s="14" t="n">
        <x:v>6.023306892121959</x:v>
      </x:c>
    </x:row>
    <x:row r="280">
      <x:c r="A280" t="n">
        <x:v>45444</x:v>
      </x:c>
      <x:c r="B280" s="12" t="n">
        <x:v>7075547</x:v>
      </x:c>
      <x:c r="C280" s="12" t="n">
        <x:v>21163925</x:v>
      </x:c>
      <x:c r="D280" s="12" t="n">
        <x:v>75743523</x:v>
      </x:c>
      <x:c r="E280" s="12" t="n">
        <x:v>8672716</x:v>
      </x:c>
      <x:c r="F280" s="12" t="n">
        <x:v>96907448</x:v>
      </x:c>
      <x:c r="G280" t="str">
        <x:v>Reeves</x:v>
      </x:c>
      <x:c r="H280" t="n">
        <x:v>2024</x:v>
      </x:c>
      <x:c r="I280" s="12" t="n">
        <x:v>15748263</x:v>
      </x:c>
      <x:c r="J280" s="14" t="n">
        <x:v>13.696106887566431</x:v>
      </x:c>
      <x:c r="K280" s="14" t="n">
        <x:v>6.15353248799566</x:v>
      </x:c>
    </x:row>
    <x:row r="281">
      <x:c r="A281" t="n">
        <x:v>45474</x:v>
      </x:c>
      <x:c r="B281" s="12" t="n">
        <x:v>7051070</x:v>
      </x:c>
      <x:c r="C281" s="12" t="n">
        <x:v>21469064</x:v>
      </x:c>
      <x:c r="D281" s="12" t="n">
        <x:v>77724680</x:v>
      </x:c>
      <x:c r="E281" s="12" t="n">
        <x:v>8934934</x:v>
      </x:c>
      <x:c r="F281" s="12" t="n">
        <x:v>99193744</x:v>
      </x:c>
      <x:c r="G281" t="str">
        <x:v>Reeves</x:v>
      </x:c>
      <x:c r="H281" t="n">
        <x:v>2024</x:v>
      </x:c>
      <x:c r="I281" s="12" t="n">
        <x:v>15986004</x:v>
      </x:c>
      <x:c r="J281" s="14" t="n">
        <x:v>14.067899481922602</x:v>
      </x:c>
      <x:c r="K281" s="14" t="n">
        <x:v>6.2050368559897775</x:v>
      </x:c>
    </x:row>
    <x:row r="282">
      <x:c r="A282" t="n">
        <x:v>45505</x:v>
      </x:c>
      <x:c r="B282" s="12" t="n">
        <x:v>6939766</x:v>
      </x:c>
      <x:c r="C282" s="12" t="n">
        <x:v>21065496</x:v>
      </x:c>
      <x:c r="D282" s="12" t="n">
        <x:v>77129780</x:v>
      </x:c>
      <x:c r="E282" s="12" t="n">
        <x:v>8750251</x:v>
      </x:c>
      <x:c r="F282" s="12" t="n">
        <x:v>98195276</x:v>
      </x:c>
      <x:c r="G282" t="str">
        <x:v>Reeves</x:v>
      </x:c>
      <x:c r="H282" t="n">
        <x:v>2024</x:v>
      </x:c>
      <x:c r="I282" s="12" t="n">
        <x:v>15690017</x:v>
      </x:c>
      <x:c r="J282" s="14" t="n">
        <x:v>14.149652308161398</x:v>
      </x:c>
      <x:c r="K282" s="14" t="n">
        <x:v>6.258455679174854</x:v>
      </x:c>
    </x:row>
    <x:row r="283">
      <x:c r="A283" t="n">
        <x:v>45536</x:v>
      </x:c>
      <x:c r="B283" s="12" t="n">
        <x:v>6958998</x:v>
      </x:c>
      <x:c r="C283" s="12" t="n">
        <x:v>20891835</x:v>
      </x:c>
      <x:c r="D283" s="12" t="n">
        <x:v>72477116</x:v>
      </x:c>
      <x:c r="E283" s="12" t="n">
        <x:v>8135704</x:v>
      </x:c>
      <x:c r="F283" s="12" t="n">
        <x:v>93368951</x:v>
      </x:c>
      <x:c r="G283" t="str">
        <x:v>Reeves</x:v>
      </x:c>
      <x:c r="H283" t="n">
        <x:v>2024</x:v>
      </x:c>
      <x:c r="I283" s="12" t="n">
        <x:v>15094702</x:v>
      </x:c>
      <x:c r="J283" s="14" t="n">
        <x:v>13.417010753559635</x:v>
      </x:c>
      <x:c r="K283" s="14" t="n">
        <x:v>6.185544504290314</x:v>
      </x:c>
    </x:row>
    <x:row r="284">
      <x:c r="A284" t="n">
        <x:v>45566</x:v>
      </x:c>
      <x:c r="B284" s="12" t="n">
        <x:v>7181857</x:v>
      </x:c>
      <x:c r="C284" s="12" t="n">
        <x:v>21835137</x:v>
      </x:c>
      <x:c r="D284" s="12" t="n">
        <x:v>79552843</x:v>
      </x:c>
      <x:c r="E284" s="12" t="n">
        <x:v>8707484</x:v>
      </x:c>
      <x:c r="F284" s="12" t="n">
        <x:v>101387980</x:v>
      </x:c>
      <x:c r="G284" t="str">
        <x:v>Reeves</x:v>
      </x:c>
      <x:c r="H284" t="n">
        <x:v>2024</x:v>
      </x:c>
      <x:c r="I284" s="12" t="n">
        <x:v>15889341</x:v>
      </x:c>
      <x:c r="J284" s="14" t="n">
        <x:v>14.117237366324614</x:v>
      </x:c>
      <x:c r="K284" s="14" t="n">
        <x:v>6.380880113278455</x:v>
      </x:c>
    </x:row>
    <x:row r="285">
      <x:c r="A285" t="n">
        <x:v>45597</x:v>
      </x:c>
      <x:c r="B285" s="12" t="n">
        <x:v>6904742</x:v>
      </x:c>
      <x:c r="C285" s="12" t="n">
        <x:v>20933176</x:v>
      </x:c>
      <x:c r="D285" s="12" t="n">
        <x:v>72535730</x:v>
      </x:c>
      <x:c r="E285" s="12" t="n">
        <x:v>8066856</x:v>
      </x:c>
      <x:c r="F285" s="12" t="n">
        <x:v>93468906</x:v>
      </x:c>
      <x:c r="G285" t="str">
        <x:v>Reeves</x:v>
      </x:c>
      <x:c r="H285" t="n">
        <x:v>2024</x:v>
      </x:c>
      <x:c r="I285" s="12" t="n">
        <x:v>14971598</x:v>
      </x:c>
      <x:c r="J285" s="14" t="n">
        <x:v>13.536915065037912</x:v>
      </x:c>
      <x:c r="K285" s="14" t="n">
        <x:v>6.243081466654394</x:v>
      </x:c>
    </x:row>
    <x:row r="286">
      <x:c r="A286" t="n">
        <x:v>45627</x:v>
      </x:c>
      <x:c r="B286" s="12" t="n">
        <x:v>6782002</x:v>
      </x:c>
      <x:c r="C286" s="12" t="n">
        <x:v>20332860</x:v>
      </x:c>
      <x:c r="D286" s="12" t="n">
        <x:v>80718266</x:v>
      </x:c>
      <x:c r="E286" s="12" t="n">
        <x:v>8292930</x:v>
      </x:c>
      <x:c r="F286" s="12" t="n">
        <x:v>101051126</x:v>
      </x:c>
      <x:c r="G286" t="str">
        <x:v>Reeves</x:v>
      </x:c>
      <x:c r="H286" t="n">
        <x:v>2024</x:v>
      </x:c>
      <x:c r="I286" s="12" t="n">
        <x:v>15074932</x:v>
      </x:c>
      <x:c r="J286" s="14" t="n">
        <x:v>14.899896225332874</x:v>
      </x:c>
      <x:c r="K286" s="14" t="n">
        <x:v>6.703255842215408</x:v>
      </x:c>
    </x:row>
    <x:row r="287">
      <x:c r="A287" t="n">
        <x:v>45658</x:v>
      </x:c>
      <x:c r="B287" s="12" t="n">
        <x:v>6363720</x:v>
      </x:c>
      <x:c r="C287" s="12" t="n">
        <x:v>19308544</x:v>
      </x:c>
      <x:c r="D287" s="12" t="n">
        <x:v>79720700</x:v>
      </x:c>
      <x:c r="E287" s="12" t="n">
        <x:v>7938284</x:v>
      </x:c>
      <x:c r="F287" s="12" t="n">
        <x:v>99029244</x:v>
      </x:c>
      <x:c r="G287" t="str">
        <x:v>Reeves</x:v>
      </x:c>
      <x:c r="H287" t="n">
        <x:v>2025</x:v>
      </x:c>
      <x:c r="I287" s="12" t="n">
        <x:v>14302004</x:v>
      </x:c>
      <x:c r="J287" s="14" t="n">
        <x:v>15.561533819841225</x:v>
      </x:c>
      <x:c r="K287" s="14" t="n">
        <x:v>6.924151608403969</x:v>
      </x:c>
    </x:row>
    <x:row r="288">
      <x:c r="A288" t="n">
        <x:v>45689</x:v>
      </x:c>
      <x:c r="B288" s="12" t="n">
        <x:v>6053709</x:v>
      </x:c>
      <x:c r="C288" s="12" t="n">
        <x:v>18240071</x:v>
      </x:c>
      <x:c r="D288" s="12" t="n">
        <x:v>73779125</x:v>
      </x:c>
      <x:c r="E288" s="12" t="n">
        <x:v>7369274</x:v>
      </x:c>
      <x:c r="F288" s="12" t="n">
        <x:v>92019196</x:v>
      </x:c>
      <x:c r="G288" t="str">
        <x:v>Reeves</x:v>
      </x:c>
      <x:c r="H288" t="n">
        <x:v>2025</x:v>
      </x:c>
      <x:c r="I288" s="12" t="n">
        <x:v>13422983</x:v>
      </x:c>
      <x:c r="J288" s="14" t="n">
        <x:v>15.200465697971277</x:v>
      </x:c>
      <x:c r="K288" s="14" t="n">
        <x:v>6.855346237121808</x:v>
      </x:c>
    </x:row>
    <x:row r="289">
      <x:c r="A289" t="n">
        <x:v>45717</x:v>
      </x:c>
      <x:c r="B289" s="12" t="n">
        <x:v>7406061</x:v>
      </x:c>
      <x:c r="C289" s="12" t="n">
        <x:v>21238320</x:v>
      </x:c>
      <x:c r="D289" s="12" t="n">
        <x:v>82691596</x:v>
      </x:c>
      <x:c r="E289" s="12" t="n">
        <x:v>8658969</x:v>
      </x:c>
      <x:c r="F289" s="12" t="n">
        <x:v>103929916</x:v>
      </x:c>
      <x:c r="G289" t="str">
        <x:v>Reeves</x:v>
      </x:c>
      <x:c r="H289" t="n">
        <x:v>2025</x:v>
      </x:c>
      <x:c r="I289" s="12" t="n">
        <x:v>16065030</x:v>
      </x:c>
      <x:c r="J289" s="14" t="n">
        <x:v>14.033089384491973</x:v>
      </x:c>
      <x:c r="K289" s="14" t="n">
        <x:v>6.469325983207003</x:v>
      </x:c>
    </x:row>
    <x:row r="290">
      <x:c r="A290" t="n">
        <x:v>45748</x:v>
      </x:c>
      <x:c r="B290" s="12" t="n">
        <x:v>7160183</x:v>
      </x:c>
      <x:c r="C290" s="12" t="n">
        <x:v>20445011</x:v>
      </x:c>
      <x:c r="D290" s="12" t="n">
        <x:v>78490375</x:v>
      </x:c>
      <x:c r="E290" s="12" t="n">
        <x:v>8175453</x:v>
      </x:c>
      <x:c r="F290" s="12" t="n">
        <x:v>98935386</x:v>
      </x:c>
      <x:c r="G290" t="str">
        <x:v>Reeves</x:v>
      </x:c>
      <x:c r="H290" t="n">
        <x:v>2025</x:v>
      </x:c>
      <x:c r="I290" s="12" t="n">
        <x:v>15335636</x:v>
      </x:c>
      <x:c r="J290" s="14" t="n">
        <x:v>13.817438185588273</x:v>
      </x:c>
      <x:c r="K290" s="14" t="n">
        <x:v>6.451338959792734</x:v>
      </x:c>
    </x:row>
    <x:row r="291">
      <x:c r="A291" t="n">
        <x:v>45778</x:v>
      </x:c>
      <x:c r="B291" s="12" t="n">
        <x:v>7533740</x:v>
      </x:c>
      <x:c r="C291" s="12" t="n">
        <x:v>23136624</x:v>
      </x:c>
      <x:c r="D291" s="12" t="n">
        <x:v>86009158</x:v>
      </x:c>
      <x:c r="E291" s="12" t="n">
        <x:v>8705906</x:v>
      </x:c>
      <x:c r="F291" s="12" t="n">
        <x:v>109145782</x:v>
      </x:c>
      <x:c r="G291" t="str">
        <x:v>Reeves</x:v>
      </x:c>
      <x:c r="H291" t="n">
        <x:v>2025</x:v>
      </x:c>
      <x:c r="I291" s="12" t="n">
        <x:v>16239646</x:v>
      </x:c>
      <x:c r="J291" s="14" t="n">
        <x:v>14.487596067822887</x:v>
      </x:c>
      <x:c r="K291" s="14" t="n">
        <x:v>6.72094588761356</x:v>
      </x:c>
    </x:row>
    <x:row r="292">
      <x:c r="A292" t="n">
        <x:v>45809</x:v>
      </x:c>
      <x:c r="B292" s="12" t="n">
        <x:v>7094025</x:v>
      </x:c>
      <x:c r="C292" s="12" t="n">
        <x:v>21842355</x:v>
      </x:c>
      <x:c r="D292" s="12" t="n">
        <x:v>79597840</x:v>
      </x:c>
      <x:c r="E292" s="12" t="n">
        <x:v>7820051</x:v>
      </x:c>
      <x:c r="F292" s="12" t="n">
        <x:v>101440195</x:v>
      </x:c>
      <x:c r="G292" t="str">
        <x:v>Reeves</x:v>
      </x:c>
      <x:c r="H292" t="n">
        <x:v>2025</x:v>
      </x:c>
      <x:c r="I292" s="12" t="n">
        <x:v>14914076</x:v>
      </x:c>
      <x:c r="J292" s="14" t="n">
        <x:v>14.299385045866064</x:v>
      </x:c>
      <x:c r="K292" s="14" t="n">
        <x:v>6.801641281699248</x:v>
      </x:c>
    </x:row>
    <x:row r="293">
      <x:c r="A293" t="n">
        <x:v>45839</x:v>
      </x:c>
      <x:c r="B293" s="12" t="n">
        <x:v>7148087</x:v>
      </x:c>
      <x:c r="C293" s="12" t="n">
        <x:v>22231707</x:v>
      </x:c>
      <x:c r="D293" s="12" t="n">
        <x:v>85007786</x:v>
      </x:c>
      <x:c r="E293" s="12" t="n">
        <x:v>8389514</x:v>
      </x:c>
      <x:c r="F293" s="12" t="n">
        <x:v>107239493</x:v>
      </x:c>
      <x:c r="G293" t="str">
        <x:v>Reeves</x:v>
      </x:c>
      <x:c r="H293" t="n">
        <x:v>2025</x:v>
      </x:c>
      <x:c r="I293" s="12" t="n">
        <x:v>15537601</x:v>
      </x:c>
      <x:c r="J293" s="14" t="n">
        <x:v>15.002544456999473</x:v>
      </x:c>
      <x:c r="K293" s="14" t="n">
        <x:v>6.901933766995304</x:v>
      </x:c>
    </x:row>
    <x:row r="294">
      <x:c r="A294" t="n">
        <x:v>45870</x:v>
      </x:c>
      <x:c r="B294" s="12" t="n">
        <x:v>6810458</x:v>
      </x:c>
      <x:c r="C294" s="12" t="n">
        <x:v>21986715</x:v>
      </x:c>
      <x:c r="D294" s="12" t="n">
        <x:v>85512185</x:v>
      </x:c>
      <x:c r="E294" s="12" t="n">
        <x:v>8411441</x:v>
      </x:c>
      <x:c r="F294" s="12" t="n">
        <x:v>107498900</x:v>
      </x:c>
      <x:c r="G294" t="str">
        <x:v>Reeves</x:v>
      </x:c>
      <x:c r="H294" t="n">
        <x:v>2025</x:v>
      </x:c>
      <x:c r="I294" s="12" t="n">
        <x:v>15221899</x:v>
      </x:c>
      <x:c r="J294" s="14" t="n">
        <x:v>15.784386307058938</x:v>
      </x:c>
      <x:c r="K294" s="14" t="n">
        <x:v>7.062121486944566</x:v>
      </x:c>
    </x:row>
    <x:row r="295">
      <x:c r="A295" t="n">
        <x:v>45901</x:v>
      </x:c>
      <x:c r="B295" s="12" t="n">
        <x:v>6311398</x:v>
      </x:c>
      <x:c r="C295" s="12" t="n">
        <x:v>20756765</x:v>
      </x:c>
      <x:c r="D295" s="12" t="n">
        <x:v>80240286</x:v>
      </x:c>
      <x:c r="E295" s="12" t="n">
        <x:v>8130677</x:v>
      </x:c>
      <x:c r="F295" s="12" t="n">
        <x:v>100997051</x:v>
      </x:c>
      <x:c r="G295" t="str">
        <x:v>Reeves</x:v>
      </x:c>
      <x:c r="H295" t="n">
        <x:v>2025</x:v>
      </x:c>
      <x:c r="I295" s="12" t="n">
        <x:v>14442075</x:v>
      </x:c>
      <x:c r="J295" s="14" t="n">
        <x:v>16.00232642593606</x:v>
      </x:c>
      <x:c r="K295" s="14" t="n">
        <x:v>6.99325069285404</x:v>
      </x:c>
    </x:row>
    <x:row r="296">
      <x:c r="A296" t="n">
        <x:v>45931</x:v>
      </x:c>
      <x:c r="B296" s="12" t="n">
        <x:v>6505302</x:v>
      </x:c>
      <x:c r="C296" s="12" t="n">
        <x:v>20999691</x:v>
      </x:c>
      <x:c r="D296" s="12" t="n">
        <x:v>75904220</x:v>
      </x:c>
      <x:c r="E296" s="12" t="n">
        <x:v>7861772</x:v>
      </x:c>
      <x:c r="F296" s="12" t="n">
        <x:v>96903911</x:v>
      </x:c>
      <x:c r="G296" t="str">
        <x:v>Reeves</x:v>
      </x:c>
      <x:c r="H296" t="n">
        <x:v>2025</x:v>
      </x:c>
      <x:c r="I296" s="12" t="n">
        <x:v>14367074</x:v>
      </x:c>
      <x:c r="J296" s="14" t="n">
        <x:v>14.896143330471054</x:v>
      </x:c>
      <x:c r="K296" s="14" t="n">
        <x:v>6.744860574950752</x:v>
      </x:c>
    </x:row>
    <x:row r="297">
      <x:c r="A297" t="n">
        <x:v>45962</x:v>
      </x:c>
      <x:c r="B297" s="12" t="n">
        <x:v>6565361</x:v>
      </x:c>
      <x:c r="C297" s="12" t="n">
        <x:v>21674204</x:v>
      </x:c>
      <x:c r="D297" s="12" t="n">
        <x:v>77024524</x:v>
      </x:c>
      <x:c r="E297" s="12" t="n">
        <x:v>8047578</x:v>
      </x:c>
      <x:c r="F297" s="12" t="n">
        <x:v>98698728</x:v>
      </x:c>
      <x:c r="G297" t="str">
        <x:v>Reeves</x:v>
      </x:c>
      <x:c r="H297" t="n">
        <x:v>2025</x:v>
      </x:c>
      <x:c r="I297" s="12" t="n">
        <x:v>14612939</x:v>
      </x:c>
      <x:c r="J297" s="14" t="n">
        <x:v>15.033252246144576</x:v>
      </x:c>
      <x:c r="K297" s="14" t="n">
        <x:v>6.754201054284836</x:v>
      </x:c>
    </x:row>
    <x:row r="298">
      <x:c r="A298" t="n">
        <x:v>45992</x:v>
      </x:c>
      <x:c r="B298" s="12" t="n">
        <x:v>7030339</x:v>
      </x:c>
      <x:c r="C298" s="12" t="n">
        <x:v>23020802</x:v>
      </x:c>
      <x:c r="D298" s="12" t="n">
        <x:v>80011891</x:v>
      </x:c>
      <x:c r="E298" s="12" t="n">
        <x:v>8363174</x:v>
      </x:c>
      <x:c r="F298" s="12" t="n">
        <x:v>103032693</x:v>
      </x:c>
      <x:c r="G298" t="str">
        <x:v>Reeves</x:v>
      </x:c>
      <x:c r="H298" t="n">
        <x:v>2025</x:v>
      </x:c>
      <x:c r="I298" s="12" t="n">
        <x:v>15393513</x:v>
      </x:c>
      <x:c r="J298" s="14" t="n">
        <x:v>14.655437383602697</x:v>
      </x:c>
      <x:c r="K298" s="14" t="n">
        <x:v>6.693254034995131</x:v>
      </x:c>
    </x:row>
    <x:row r="299">
      <x:c r="A299" t="n">
        <x:v>46023</x:v>
      </x:c>
      <x:c r="B299" s="12" t="n">
        <x:v>6450339</x:v>
      </x:c>
      <x:c r="C299" s="12" t="n">
        <x:v>20948331</x:v>
      </x:c>
      <x:c r="D299" s="12" t="n">
        <x:v>76989144</x:v>
      </x:c>
      <x:c r="E299" s="12" t="n">
        <x:v>7790160</x:v>
      </x:c>
      <x:c r="F299" s="12" t="n">
        <x:v>97937475</x:v>
      </x:c>
      <x:c r="G299" t="str">
        <x:v>Reeves</x:v>
      </x:c>
      <x:c r="H299" t="n">
        <x:v>2026</x:v>
      </x:c>
      <x:c r="I299" s="12" t="n">
        <x:v>14240499</x:v>
      </x:c>
      <x:c r="J299" s="14" t="n">
        <x:v>15.183306644813552</x:v>
      </x:c>
      <x:c r="K299" s="14" t="n">
        <x:v>6.877390672897066</x:v>
      </x:c>
    </x:row>
    <x:row r="300">
      <x:c r="A300" t="n">
        <x:v>46054</x:v>
      </x:c>
      <x:c r="B300" s="12" t="n">
        <x:v>5849687</x:v>
      </x:c>
      <x:c r="C300" s="12" t="n">
        <x:v>19515296</x:v>
      </x:c>
      <x:c r="D300" s="12" t="n">
        <x:v>71823462</x:v>
      </x:c>
      <x:c r="E300" s="12" t="n">
        <x:v>7066485</x:v>
      </x:c>
      <x:c r="F300" s="12" t="n">
        <x:v>91338758</x:v>
      </x:c>
      <x:c r="G300" t="str">
        <x:v>Reeves</x:v>
      </x:c>
      <x:c r="H300" t="n">
        <x:v>2026</x:v>
      </x:c>
      <x:c r="I300" s="12" t="n">
        <x:v>12916172</x:v>
      </x:c>
      <x:c r="J300" s="14" t="n">
        <x:v>15.614298337671743</x:v>
      </x:c>
      <x:c r="K300" s="14" t="n">
        <x:v>7.071658537839229</x:v>
      </x:c>
    </x:row>
    <x:row r="301">
      <x:c r="A301" t="n">
        <x:v>46082</x:v>
      </x:c>
      <x:c r="B301" s="12" t="n">
        <x:v>6193492</x:v>
      </x:c>
      <x:c r="C301" s="12" t="n">
        <x:v>21556033</x:v>
      </x:c>
      <x:c r="D301" s="12" t="n">
        <x:v>74951995</x:v>
      </x:c>
      <x:c r="E301" s="12" t="n">
        <x:v>7702514</x:v>
      </x:c>
      <x:c r="F301" s="12" t="n">
        <x:v>96508028</x:v>
      </x:c>
      <x:c r="G301" t="str">
        <x:v>Reeves</x:v>
      </x:c>
      <x:c r="H301" t="n">
        <x:v>2026</x:v>
      </x:c>
      <x:c r="I301" s="12" t="n">
        <x:v>13896006</x:v>
      </x:c>
      <x:c r="J301" s="14" t="n">
        <x:v>15.582167216814037</x:v>
      </x:c>
      <x:c r="K301" s="14" t="n">
        <x:v>6.94501916593876</x:v>
      </x:c>
    </x:row>
    <x:row r="302">
      <x:c r="A302" t="n">
        <x:v>43831</x:v>
      </x:c>
      <x:c r="B302" s="12" t="n">
        <x:v>7258729</x:v>
      </x:c>
      <x:c r="C302" s="12" t="n">
        <x:v>15458848</x:v>
      </x:c>
      <x:c r="D302" s="12" t="n">
        <x:v>19963658</x:v>
      </x:c>
      <x:c r="E302" s="12" t="n">
        <x:v>4621232</x:v>
      </x:c>
      <x:c r="F302" s="12" t="n">
        <x:v>35422506</x:v>
      </x:c>
      <x:c r="G302" t="str">
        <x:v>Loving</x:v>
      </x:c>
      <x:c r="H302" t="n">
        <x:v>2020</x:v>
      </x:c>
      <x:c r="I302" s="12" t="n">
        <x:v>11879961</x:v>
      </x:c>
      <x:c r="J302" s="14" t="n">
        <x:v>4.879987391732079</x:v>
      </x:c>
      <x:c r="K302" s="14" t="n">
        <x:v>2.981702212658779</x:v>
      </x:c>
    </x:row>
    <x:row r="303">
      <x:c r="A303" t="n">
        <x:v>43862</x:v>
      </x:c>
      <x:c r="B303" s="12" t="n">
        <x:v>6979903</x:v>
      </x:c>
      <x:c r="C303" s="12" t="n">
        <x:v>14758937</x:v>
      </x:c>
      <x:c r="D303" s="12" t="n">
        <x:v>19183176</x:v>
      </x:c>
      <x:c r="E303" s="12" t="n">
        <x:v>4287108</x:v>
      </x:c>
      <x:c r="F303" s="12" t="n">
        <x:v>33942113</x:v>
      </x:c>
      <x:c r="G303" t="str">
        <x:v>Loving</x:v>
      </x:c>
      <x:c r="H303" t="n">
        <x:v>2020</x:v>
      </x:c>
      <x:c r="I303" s="12" t="n">
        <x:v>11267011</x:v>
      </x:c>
      <x:c r="J303" s="14" t="n">
        <x:v>4.862834483516462</x:v>
      </x:c>
      <x:c r="K303" s="14" t="n">
        <x:v>3.012521510807081</x:v>
      </x:c>
    </x:row>
    <x:row r="304">
      <x:c r="A304" t="n">
        <x:v>43891</x:v>
      </x:c>
      <x:c r="B304" s="12" t="n">
        <x:v>8177875</x:v>
      </x:c>
      <x:c r="C304" s="12" t="n">
        <x:v>17601938</x:v>
      </x:c>
      <x:c r="D304" s="12" t="n">
        <x:v>23640819</x:v>
      </x:c>
      <x:c r="E304" s="12" t="n">
        <x:v>5469058</x:v>
      </x:c>
      <x:c r="F304" s="12" t="n">
        <x:v>41242757</x:v>
      </x:c>
      <x:c r="G304" t="str">
        <x:v>Loving</x:v>
      </x:c>
      <x:c r="H304" t="n">
        <x:v>2020</x:v>
      </x:c>
      <x:c r="I304" s="12" t="n">
        <x:v>13646933</x:v>
      </x:c>
      <x:c r="J304" s="14" t="n">
        <x:v>5.043211959096953</x:v>
      </x:c>
      <x:c r="K304" s="14" t="n">
        <x:v>3.0221264367605527</x:v>
      </x:c>
    </x:row>
    <x:row r="305">
      <x:c r="A305" t="n">
        <x:v>43922</x:v>
      </x:c>
      <x:c r="B305" s="12" t="n">
        <x:v>7392785</x:v>
      </x:c>
      <x:c r="C305" s="12" t="n">
        <x:v>16083269</x:v>
      </x:c>
      <x:c r="D305" s="12" t="n">
        <x:v>21289985</x:v>
      </x:c>
      <x:c r="E305" s="12" t="n">
        <x:v>4857119</x:v>
      </x:c>
      <x:c r="F305" s="12" t="n">
        <x:v>37373254</x:v>
      </x:c>
      <x:c r="G305" t="str">
        <x:v>Loving</x:v>
      </x:c>
      <x:c r="H305" t="n">
        <x:v>2020</x:v>
      </x:c>
      <x:c r="I305" s="12" t="n">
        <x:v>12249904</x:v>
      </x:c>
      <x:c r="J305" s="14" t="n">
        <x:v>5.0553687142261</x:v>
      </x:c>
      <x:c r="K305" s="14" t="n">
        <x:v>3.0509017866588994</x:v>
      </x:c>
    </x:row>
    <x:row r="306">
      <x:c r="A306" t="n">
        <x:v>43952</x:v>
      </x:c>
      <x:c r="B306" s="12" t="n">
        <x:v>7412022</x:v>
      </x:c>
      <x:c r="C306" s="12" t="n">
        <x:v>16103938</x:v>
      </x:c>
      <x:c r="D306" s="12" t="n">
        <x:v>20827847</x:v>
      </x:c>
      <x:c r="E306" s="12" t="n">
        <x:v>4568757</x:v>
      </x:c>
      <x:c r="F306" s="12" t="n">
        <x:v>36931785</x:v>
      </x:c>
      <x:c r="G306" t="str">
        <x:v>Loving</x:v>
      </x:c>
      <x:c r="H306" t="n">
        <x:v>2020</x:v>
      </x:c>
      <x:c r="I306" s="12" t="n">
        <x:v>11980779</x:v>
      </x:c>
      <x:c r="J306" s="14" t="n">
        <x:v>4.982686910535344</x:v>
      </x:c>
      <x:c r="K306" s="14" t="n">
        <x:v>3.0825862825781196</x:v>
      </x:c>
    </x:row>
    <x:row r="307">
      <x:c r="A307" t="n">
        <x:v>43983</x:v>
      </x:c>
      <x:c r="B307" s="12" t="n">
        <x:v>6501210</x:v>
      </x:c>
      <x:c r="C307" s="12" t="n">
        <x:v>14726208</x:v>
      </x:c>
      <x:c r="D307" s="12" t="n">
        <x:v>19508466</x:v>
      </x:c>
      <x:c r="E307" s="12" t="n">
        <x:v>4187818</x:v>
      </x:c>
      <x:c r="F307" s="12" t="n">
        <x:v>34234674</x:v>
      </x:c>
      <x:c r="G307" t="str">
        <x:v>Loving</x:v>
      </x:c>
      <x:c r="H307" t="n">
        <x:v>2020</x:v>
      </x:c>
      <x:c r="I307" s="12" t="n">
        <x:v>10689028</x:v>
      </x:c>
      <x:c r="J307" s="14" t="n">
        <x:v>5.2658926569054065</x:v>
      </x:c>
      <x:c r="K307" s="14" t="n">
        <x:v>3.2027864460641324</x:v>
      </x:c>
    </x:row>
    <x:row r="308">
      <x:c r="A308" t="n">
        <x:v>44013</x:v>
      </x:c>
      <x:c r="B308" s="12" t="n">
        <x:v>6829857</x:v>
      </x:c>
      <x:c r="C308" s="12" t="n">
        <x:v>15158748</x:v>
      </x:c>
      <x:c r="D308" s="12" t="n">
        <x:v>19208714</x:v>
      </x:c>
      <x:c r="E308" s="12" t="n">
        <x:v>4058167</x:v>
      </x:c>
      <x:c r="F308" s="12" t="n">
        <x:v>34367462</x:v>
      </x:c>
      <x:c r="G308" t="str">
        <x:v>Loving</x:v>
      </x:c>
      <x:c r="H308" t="n">
        <x:v>2020</x:v>
      </x:c>
      <x:c r="I308" s="12" t="n">
        <x:v>10888024</x:v>
      </x:c>
      <x:c r="J308" s="14" t="n">
        <x:v>5.031944592690594</x:v>
      </x:c>
      <x:c r="K308" s="14" t="n">
        <x:v>3.156446201808519</x:v>
      </x:c>
    </x:row>
    <x:row r="309">
      <x:c r="A309" t="n">
        <x:v>44044</x:v>
      </x:c>
      <x:c r="B309" s="12" t="n">
        <x:v>6522080</x:v>
      </x:c>
      <x:c r="C309" s="12" t="n">
        <x:v>14448634</x:v>
      </x:c>
      <x:c r="D309" s="12" t="n">
        <x:v>18330389</x:v>
      </x:c>
      <x:c r="E309" s="12" t="n">
        <x:v>3789132</x:v>
      </x:c>
      <x:c r="F309" s="12" t="n">
        <x:v>32779023</x:v>
      </x:c>
      <x:c r="G309" t="str">
        <x:v>Loving</x:v>
      </x:c>
      <x:c r="H309" t="n">
        <x:v>2020</x:v>
      </x:c>
      <x:c r="I309" s="12" t="n">
        <x:v>10311212</x:v>
      </x:c>
      <x:c r="J309" s="14" t="n">
        <x:v>5.025854175355102</x:v>
      </x:c>
      <x:c r="K309" s="14" t="n">
        <x:v>3.178968970863949</x:v>
      </x:c>
    </x:row>
    <x:row r="310">
      <x:c r="A310" t="n">
        <x:v>44075</x:v>
      </x:c>
      <x:c r="B310" s="12" t="n">
        <x:v>6145167</x:v>
      </x:c>
      <x:c r="C310" s="12" t="n">
        <x:v>13823902</x:v>
      </x:c>
      <x:c r="D310" s="12" t="n">
        <x:v>18657006</x:v>
      </x:c>
      <x:c r="E310" s="12" t="n">
        <x:v>3875340</x:v>
      </x:c>
      <x:c r="F310" s="12" t="n">
        <x:v>32480908</x:v>
      </x:c>
      <x:c r="G310" t="str">
        <x:v>Loving</x:v>
      </x:c>
      <x:c r="H310" t="n">
        <x:v>2020</x:v>
      </x:c>
      <x:c r="I310" s="12" t="n">
        <x:v>10020507</x:v>
      </x:c>
      <x:c r="J310" s="14" t="n">
        <x:v>5.285602165083553</x:v>
      </x:c>
      <x:c r="K310" s="14" t="n">
        <x:v>3.241443571667581</x:v>
      </x:c>
    </x:row>
    <x:row r="311">
      <x:c r="A311" t="n">
        <x:v>44105</x:v>
      </x:c>
      <x:c r="B311" s="12" t="n">
        <x:v>6654125</x:v>
      </x:c>
      <x:c r="C311" s="12" t="n">
        <x:v>14954549</x:v>
      </x:c>
      <x:c r="D311" s="12" t="n">
        <x:v>19364199</x:v>
      </x:c>
      <x:c r="E311" s="12" t="n">
        <x:v>4065759</x:v>
      </x:c>
      <x:c r="F311" s="12" t="n">
        <x:v>34318748</x:v>
      </x:c>
      <x:c r="G311" t="str">
        <x:v>Loving</x:v>
      </x:c>
      <x:c r="H311" t="n">
        <x:v>2020</x:v>
      </x:c>
      <x:c r="I311" s="12" t="n">
        <x:v>10719884</x:v>
      </x:c>
      <x:c r="J311" s="14" t="n">
        <x:v>5.157514774669847</x:v>
      </x:c>
      <x:c r="K311" s="14" t="n">
        <x:v>3.2014103883959937</x:v>
      </x:c>
    </x:row>
    <x:row r="312">
      <x:c r="A312" t="n">
        <x:v>44136</x:v>
      </x:c>
      <x:c r="B312" s="12" t="n">
        <x:v>6458536</x:v>
      </x:c>
      <x:c r="C312" s="12" t="n">
        <x:v>14479956</x:v>
      </x:c>
      <x:c r="D312" s="12" t="n">
        <x:v>18116812</x:v>
      </x:c>
      <x:c r="E312" s="12" t="n">
        <x:v>3760653</x:v>
      </x:c>
      <x:c r="F312" s="12" t="n">
        <x:v>32596768</x:v>
      </x:c>
      <x:c r="G312" t="str">
        <x:v>Loving</x:v>
      </x:c>
      <x:c r="H312" t="n">
        <x:v>2020</x:v>
      </x:c>
      <x:c r="I312" s="12" t="n">
        <x:v>10219189</x:v>
      </x:c>
      <x:c r="J312" s="14" t="n">
        <x:v>5.047083116049829</x:v>
      </x:c>
      <x:c r="K312" s="14" t="n">
        <x:v>3.1897607530304017</x:v>
      </x:c>
    </x:row>
    <x:row r="313">
      <x:c r="A313" t="n">
        <x:v>44166</x:v>
      </x:c>
      <x:c r="B313" s="12" t="n">
        <x:v>6758652</x:v>
      </x:c>
      <x:c r="C313" s="12" t="n">
        <x:v>14566762</x:v>
      </x:c>
      <x:c r="D313" s="12" t="n">
        <x:v>19592320</x:v>
      </x:c>
      <x:c r="E313" s="12" t="n">
        <x:v>4341217</x:v>
      </x:c>
      <x:c r="F313" s="12" t="n">
        <x:v>34159082</x:v>
      </x:c>
      <x:c r="G313" t="str">
        <x:v>Loving</x:v>
      </x:c>
      <x:c r="H313" t="n">
        <x:v>2020</x:v>
      </x:c>
      <x:c r="I313" s="12" t="n">
        <x:v>11099869</x:v>
      </x:c>
      <x:c r="J313" s="14" t="n">
        <x:v>5.054126473740622</x:v>
      </x:c>
      <x:c r="K313" s="14" t="n">
        <x:v>3.077431094006605</x:v>
      </x:c>
    </x:row>
    <x:row r="314">
      <x:c r="A314" t="n">
        <x:v>44197</x:v>
      </x:c>
      <x:c r="B314" s="12" t="n">
        <x:v>6549945</x:v>
      </x:c>
      <x:c r="C314" s="12" t="n">
        <x:v>14575801</x:v>
      </x:c>
      <x:c r="D314" s="12" t="n">
        <x:v>22578659</x:v>
      </x:c>
      <x:c r="E314" s="12" t="n">
        <x:v>5023689</x:v>
      </x:c>
      <x:c r="F314" s="12" t="n">
        <x:v>37154460</x:v>
      </x:c>
      <x:c r="G314" t="str">
        <x:v>Loving</x:v>
      </x:c>
      <x:c r="H314" t="n">
        <x:v>2021</x:v>
      </x:c>
      <x:c r="I314" s="12" t="n">
        <x:v>11573634</x:v>
      </x:c>
      <x:c r="J314" s="14" t="n">
        <x:v>5.672484272768703</x:v>
      </x:c>
      <x:c r="K314" s="14" t="n">
        <x:v>3.2102674060714205</x:v>
      </x:c>
    </x:row>
    <x:row r="315">
      <x:c r="A315" t="n">
        <x:v>44228</x:v>
      </x:c>
      <x:c r="B315" s="12" t="n">
        <x:v>4617545</x:v>
      </x:c>
      <x:c r="C315" s="12" t="n">
        <x:v>10191722</x:v>
      </x:c>
      <x:c r="D315" s="12" t="n">
        <x:v>15858453</x:v>
      </x:c>
      <x:c r="E315" s="12" t="n">
        <x:v>3465154</x:v>
      </x:c>
      <x:c r="F315" s="12" t="n">
        <x:v>26050175</x:v>
      </x:c>
      <x:c r="G315" t="str">
        <x:v>Loving</x:v>
      </x:c>
      <x:c r="H315" t="n">
        <x:v>2021</x:v>
      </x:c>
      <x:c r="I315" s="12" t="n">
        <x:v>8082699</x:v>
      </x:c>
      <x:c r="J315" s="14" t="n">
        <x:v>5.641563861315916</x:v>
      </x:c>
      <x:c r="K315" s="14" t="n">
        <x:v>3.2229549807558096</x:v>
      </x:c>
    </x:row>
    <x:row r="316">
      <x:c r="A316" t="n">
        <x:v>44256</x:v>
      </x:c>
      <x:c r="B316" s="12" t="n">
        <x:v>6800184</x:v>
      </x:c>
      <x:c r="C316" s="12" t="n">
        <x:v>15061789</x:v>
      </x:c>
      <x:c r="D316" s="12" t="n">
        <x:v>20281262</x:v>
      </x:c>
      <x:c r="E316" s="12" t="n">
        <x:v>4290381</x:v>
      </x:c>
      <x:c r="F316" s="12" t="n">
        <x:v>35343051</x:v>
      </x:c>
      <x:c r="G316" t="str">
        <x:v>Loving</x:v>
      </x:c>
      <x:c r="H316" t="n">
        <x:v>2021</x:v>
      </x:c>
      <x:c r="I316" s="12" t="n">
        <x:v>11090565</x:v>
      </x:c>
      <x:c r="J316" s="14" t="n">
        <x:v>5.197366865367172</x:v>
      </x:c>
      <x:c r="K316" s="14" t="n">
        <x:v>3.186767400939447</x:v>
      </x:c>
    </x:row>
    <x:row r="317">
      <x:c r="A317" t="n">
        <x:v>44287</x:v>
      </x:c>
      <x:c r="B317" s="12" t="n">
        <x:v>6671928</x:v>
      </x:c>
      <x:c r="C317" s="12" t="n">
        <x:v>15301699</x:v>
      </x:c>
      <x:c r="D317" s="12" t="n">
        <x:v>20967488</x:v>
      </x:c>
      <x:c r="E317" s="12" t="n">
        <x:v>4218041</x:v>
      </x:c>
      <x:c r="F317" s="12" t="n">
        <x:v>36269187</x:v>
      </x:c>
      <x:c r="G317" t="str">
        <x:v>Loving</x:v>
      </x:c>
      <x:c r="H317" t="n">
        <x:v>2021</x:v>
      </x:c>
      <x:c r="I317" s="12" t="n">
        <x:v>10889969</x:v>
      </x:c>
      <x:c r="J317" s="14" t="n">
        <x:v>5.436087889437656</x:v>
      </x:c>
      <x:c r="K317" s="14" t="n">
        <x:v>3.3305133375494456</x:v>
      </x:c>
    </x:row>
    <x:row r="318">
      <x:c r="A318" t="n">
        <x:v>44317</x:v>
      </x:c>
      <x:c r="B318" s="12" t="n">
        <x:v>7032067</x:v>
      </x:c>
      <x:c r="C318" s="12" t="n">
        <x:v>15991725</x:v>
      </x:c>
      <x:c r="D318" s="12" t="n">
        <x:v>22099344</x:v>
      </x:c>
      <x:c r="E318" s="12" t="n">
        <x:v>4446870</x:v>
      </x:c>
      <x:c r="F318" s="12" t="n">
        <x:v>38091069</x:v>
      </x:c>
      <x:c r="G318" t="str">
        <x:v>Loving</x:v>
      </x:c>
      <x:c r="H318" t="n">
        <x:v>2021</x:v>
      </x:c>
      <x:c r="I318" s="12" t="n">
        <x:v>11478937</x:v>
      </x:c>
      <x:c r="J318" s="14" t="n">
        <x:v>5.416767075740319</x:v>
      </x:c>
      <x:c r="K318" s="14" t="n">
        <x:v>3.318344634176492</x:v>
      </x:c>
    </x:row>
    <x:row r="319">
      <x:c r="A319" t="n">
        <x:v>44348</x:v>
      </x:c>
      <x:c r="B319" s="12" t="n">
        <x:v>6213468</x:v>
      </x:c>
      <x:c r="C319" s="12" t="n">
        <x:v>14254706</x:v>
      </x:c>
      <x:c r="D319" s="12" t="n">
        <x:v>22199224</x:v>
      </x:c>
      <x:c r="E319" s="12" t="n">
        <x:v>4695675</x:v>
      </x:c>
      <x:c r="F319" s="12" t="n">
        <x:v>36453930</x:v>
      </x:c>
      <x:c r="G319" t="str">
        <x:v>Loving</x:v>
      </x:c>
      <x:c r="H319" t="n">
        <x:v>2021</x:v>
      </x:c>
      <x:c r="I319" s="12" t="n">
        <x:v>10909143</x:v>
      </x:c>
      <x:c r="J319" s="14" t="n">
        <x:v>5.866921661139963</x:v>
      </x:c>
      <x:c r="K319" s="14" t="n">
        <x:v>3.3415942938872467</x:v>
      </x:c>
    </x:row>
    <x:row r="320">
      <x:c r="A320" t="n">
        <x:v>44378</x:v>
      </x:c>
      <x:c r="B320" s="12" t="n">
        <x:v>6410162</x:v>
      </x:c>
      <x:c r="C320" s="12" t="n">
        <x:v>14872268</x:v>
      </x:c>
      <x:c r="D320" s="12" t="n">
        <x:v>24378469</x:v>
      </x:c>
      <x:c r="E320" s="12" t="n">
        <x:v>4942114</x:v>
      </x:c>
      <x:c r="F320" s="12" t="n">
        <x:v>39250737</x:v>
      </x:c>
      <x:c r="G320" t="str">
        <x:v>Loving</x:v>
      </x:c>
      <x:c r="H320" t="n">
        <x:v>2021</x:v>
      </x:c>
      <x:c r="I320" s="12" t="n">
        <x:v>11352276</x:v>
      </x:c>
      <x:c r="J320" s="14" t="n">
        <x:v>6.123205154565516</x:v>
      </x:c>
      <x:c r="K320" s="14" t="n">
        <x:v>3.4575213816154577</x:v>
      </x:c>
    </x:row>
    <x:row r="321">
      <x:c r="A321" t="n">
        <x:v>44409</x:v>
      </x:c>
      <x:c r="B321" s="12" t="n">
        <x:v>6718589</x:v>
      </x:c>
      <x:c r="C321" s="12" t="n">
        <x:v>15417617</x:v>
      </x:c>
      <x:c r="D321" s="12" t="n">
        <x:v>23457007</x:v>
      </x:c>
      <x:c r="E321" s="12" t="n">
        <x:v>4616719</x:v>
      </x:c>
      <x:c r="F321" s="12" t="n">
        <x:v>38874624</x:v>
      </x:c>
      <x:c r="G321" t="str">
        <x:v>Loving</x:v>
      </x:c>
      <x:c r="H321" t="n">
        <x:v>2021</x:v>
      </x:c>
      <x:c r="I321" s="12" t="n">
        <x:v>11335308</x:v>
      </x:c>
      <x:c r="J321" s="14" t="n">
        <x:v>5.786129200640194</x:v>
      </x:c>
      <x:c r="K321" s="14" t="n">
        <x:v>3.429516339564836</x:v>
      </x:c>
    </x:row>
    <x:row r="322">
      <x:c r="A322" t="n">
        <x:v>44440</x:v>
      </x:c>
      <x:c r="B322" s="12" t="n">
        <x:v>6708160</x:v>
      </x:c>
      <x:c r="C322" s="12" t="n">
        <x:v>15328394</x:v>
      </x:c>
      <x:c r="D322" s="12" t="n">
        <x:v>23617163</x:v>
      </x:c>
      <x:c r="E322" s="12" t="n">
        <x:v>4594403</x:v>
      </x:c>
      <x:c r="F322" s="12" t="n">
        <x:v>38945557</x:v>
      </x:c>
      <x:c r="G322" t="str">
        <x:v>Loving</x:v>
      </x:c>
      <x:c r="H322" t="n">
        <x:v>2021</x:v>
      </x:c>
      <x:c r="I322" s="12" t="n">
        <x:v>11302563</x:v>
      </x:c>
      <x:c r="J322" s="14" t="n">
        <x:v>5.805698880169823</x:v>
      </x:c>
      <x:c r="K322" s="14" t="n">
        <x:v>3.445727929143151</x:v>
      </x:c>
    </x:row>
    <x:row r="323">
      <x:c r="A323" t="n">
        <x:v>44470</x:v>
      </x:c>
      <x:c r="B323" s="12" t="n">
        <x:v>7389663</x:v>
      </x:c>
      <x:c r="C323" s="12" t="n">
        <x:v>16629918</x:v>
      </x:c>
      <x:c r="D323" s="12" t="n">
        <x:v>22812958</x:v>
      </x:c>
      <x:c r="E323" s="12" t="n">
        <x:v>4267707</x:v>
      </x:c>
      <x:c r="F323" s="12" t="n">
        <x:v>39442876</x:v>
      </x:c>
      <x:c r="G323" t="str">
        <x:v>Loving</x:v>
      </x:c>
      <x:c r="H323" t="n">
        <x:v>2021</x:v>
      </x:c>
      <x:c r="I323" s="12" t="n">
        <x:v>11657370</x:v>
      </x:c>
      <x:c r="J323" s="14" t="n">
        <x:v>5.337574392770009</x:v>
      </x:c>
      <x:c r="K323" s="14" t="n">
        <x:v>3.3835141202518235</x:v>
      </x:c>
    </x:row>
    <x:row r="324">
      <x:c r="A324" t="n">
        <x:v>44501</x:v>
      </x:c>
      <x:c r="B324" s="12" t="n">
        <x:v>7281670</x:v>
      </x:c>
      <x:c r="C324" s="12" t="n">
        <x:v>16237490</x:v>
      </x:c>
      <x:c r="D324" s="12" t="n">
        <x:v>22109927</x:v>
      </x:c>
      <x:c r="E324" s="12" t="n">
        <x:v>4323300</x:v>
      </x:c>
      <x:c r="F324" s="12" t="n">
        <x:v>38347417</x:v>
      </x:c>
      <x:c r="G324" t="str">
        <x:v>Loving</x:v>
      </x:c>
      <x:c r="H324" t="n">
        <x:v>2021</x:v>
      </x:c>
      <x:c r="I324" s="12" t="n">
        <x:v>11604970</x:v>
      </x:c>
      <x:c r="J324" s="14" t="n">
        <x:v>5.26629427040775</x:v>
      </x:c>
      <x:c r="K324" s="14" t="n">
        <x:v>3.304396047555487</x:v>
      </x:c>
    </x:row>
    <x:row r="325">
      <x:c r="A325" t="n">
        <x:v>44531</x:v>
      </x:c>
      <x:c r="B325" s="12" t="n">
        <x:v>8004430</x:v>
      </x:c>
      <x:c r="C325" s="12" t="n">
        <x:v>18636281</x:v>
      </x:c>
      <x:c r="D325" s="12" t="n">
        <x:v>24007713</x:v>
      </x:c>
      <x:c r="E325" s="12" t="n">
        <x:v>4750048</x:v>
      </x:c>
      <x:c r="F325" s="12" t="n">
        <x:v>42643994</x:v>
      </x:c>
      <x:c r="G325" t="str">
        <x:v>Loving</x:v>
      </x:c>
      <x:c r="H325" t="n">
        <x:v>2021</x:v>
      </x:c>
      <x:c r="I325" s="12" t="n">
        <x:v>12754478</x:v>
      </x:c>
      <x:c r="J325" s="14" t="n">
        <x:v>5.32754911967498</x:v>
      </x:c>
      <x:c r="K325" s="14" t="n">
        <x:v>3.343452707355017</x:v>
      </x:c>
    </x:row>
    <x:row r="326">
      <x:c r="A326" t="n">
        <x:v>44562</x:v>
      </x:c>
      <x:c r="B326" s="12" t="n">
        <x:v>7388117</x:v>
      </x:c>
      <x:c r="C326" s="12" t="n">
        <x:v>16576433</x:v>
      </x:c>
      <x:c r="D326" s="12" t="n">
        <x:v>23515153</x:v>
      </x:c>
      <x:c r="E326" s="12" t="n">
        <x:v>4906435</x:v>
      </x:c>
      <x:c r="F326" s="12" t="n">
        <x:v>40091586</x:v>
      </x:c>
      <x:c r="G326" t="str">
        <x:v>Loving</x:v>
      </x:c>
      <x:c r="H326" t="n">
        <x:v>2022</x:v>
      </x:c>
      <x:c r="I326" s="12" t="n">
        <x:v>12294552</x:v>
      </x:c>
      <x:c r="J326" s="14" t="n">
        <x:v>5.426495817540518</x:v>
      </x:c>
      <x:c r="K326" s="14" t="n">
        <x:v>3.2609228868201137</x:v>
      </x:c>
    </x:row>
    <x:row r="327">
      <x:c r="A327" t="n">
        <x:v>44593</x:v>
      </x:c>
      <x:c r="B327" s="12" t="n">
        <x:v>6351635</x:v>
      </x:c>
      <x:c r="C327" s="12" t="n">
        <x:v>13889548</x:v>
      </x:c>
      <x:c r="D327" s="12" t="n">
        <x:v>20737533</x:v>
      </x:c>
      <x:c r="E327" s="12" t="n">
        <x:v>4313668</x:v>
      </x:c>
      <x:c r="F327" s="12" t="n">
        <x:v>34627081</x:v>
      </x:c>
      <x:c r="G327" t="str">
        <x:v>Loving</x:v>
      </x:c>
      <x:c r="H327" t="n">
        <x:v>2022</x:v>
      </x:c>
      <x:c r="I327" s="12" t="n">
        <x:v>10665303</x:v>
      </x:c>
      <x:c r="J327" s="14" t="n">
        <x:v>5.451679921783919</x:v>
      </x:c>
      <x:c r="K327" s="14" t="n">
        <x:v>3.246703914553576</x:v>
      </x:c>
    </x:row>
    <x:row r="328">
      <x:c r="A328" t="n">
        <x:v>44621</x:v>
      </x:c>
      <x:c r="B328" s="12" t="n">
        <x:v>7442157</x:v>
      </x:c>
      <x:c r="C328" s="12" t="n">
        <x:v>16669359</x:v>
      </x:c>
      <x:c r="D328" s="12" t="n">
        <x:v>23946261</x:v>
      </x:c>
      <x:c r="E328" s="12" t="n">
        <x:v>4883005</x:v>
      </x:c>
      <x:c r="F328" s="12" t="n">
        <x:v>40615620</x:v>
      </x:c>
      <x:c r="G328" t="str">
        <x:v>Loving</x:v>
      </x:c>
      <x:c r="H328" t="n">
        <x:v>2022</x:v>
      </x:c>
      <x:c r="I328" s="12" t="n">
        <x:v>12325162</x:v>
      </x:c>
      <x:c r="J328" s="14" t="n">
        <x:v>5.457506472921762</x:v>
      </x:c>
      <x:c r="K328" s="14" t="n">
        <x:v>3.295341675833551</x:v>
      </x:c>
    </x:row>
    <x:row r="329">
      <x:c r="A329" t="n">
        <x:v>44652</x:v>
      </x:c>
      <x:c r="B329" s="12" t="n">
        <x:v>7443248</x:v>
      </x:c>
      <x:c r="C329" s="12" t="n">
        <x:v>16971422</x:v>
      </x:c>
      <x:c r="D329" s="12" t="n">
        <x:v>25022719</x:v>
      </x:c>
      <x:c r="E329" s="12" t="n">
        <x:v>5087411</x:v>
      </x:c>
      <x:c r="F329" s="12" t="n">
        <x:v>41994141</x:v>
      </x:c>
      <x:c r="G329" t="str">
        <x:v>Loving</x:v>
      </x:c>
      <x:c r="H329" t="n">
        <x:v>2022</x:v>
      </x:c>
      <x:c r="I329" s="12" t="n">
        <x:v>12530659</x:v>
      </x:c>
      <x:c r="J329" s="14" t="n">
        <x:v>5.6419107626133105</x:v>
      </x:c>
      <x:c r="K329" s="14" t="n">
        <x:v>3.351311451376979</x:v>
      </x:c>
    </x:row>
    <x:row r="330">
      <x:c r="A330" t="n">
        <x:v>44682</x:v>
      </x:c>
      <x:c r="B330" s="12" t="n">
        <x:v>7588128</x:v>
      </x:c>
      <x:c r="C330" s="12" t="n">
        <x:v>17471295</x:v>
      </x:c>
      <x:c r="D330" s="12" t="n">
        <x:v>26183076</x:v>
      </x:c>
      <x:c r="E330" s="12" t="n">
        <x:v>5357097</x:v>
      </x:c>
      <x:c r="F330" s="12" t="n">
        <x:v>43654371</x:v>
      </x:c>
      <x:c r="G330" t="str">
        <x:v>Loving</x:v>
      </x:c>
      <x:c r="H330" t="n">
        <x:v>2022</x:v>
      </x:c>
      <x:c r="I330" s="12" t="n">
        <x:v>12945225</x:v>
      </x:c>
      <x:c r="J330" s="14" t="n">
        <x:v>5.752982949154258</x:v>
      </x:c>
      <x:c r="K330" s="14" t="n">
        <x:v>3.3722373307532316</x:v>
      </x:c>
    </x:row>
    <x:row r="331">
      <x:c r="A331" t="n">
        <x:v>44713</x:v>
      </x:c>
      <x:c r="B331" s="12" t="n">
        <x:v>7059661</x:v>
      </x:c>
      <x:c r="C331" s="12" t="n">
        <x:v>15892189</x:v>
      </x:c>
      <x:c r="D331" s="12" t="n">
        <x:v>24139519</x:v>
      </x:c>
      <x:c r="E331" s="12" t="n">
        <x:v>4974652</x:v>
      </x:c>
      <x:c r="F331" s="12" t="n">
        <x:v>40031708</x:v>
      </x:c>
      <x:c r="G331" t="str">
        <x:v>Loving</x:v>
      </x:c>
      <x:c r="H331" t="n">
        <x:v>2022</x:v>
      </x:c>
      <x:c r="I331" s="12" t="n">
        <x:v>12034313</x:v>
      </x:c>
      <x:c r="J331" s="14" t="n">
        <x:v>5.670485877438025</x:v>
      </x:c>
      <x:c r="K331" s="14" t="n">
        <x:v>3.3264639202919186</x:v>
      </x:c>
    </x:row>
    <x:row r="332">
      <x:c r="A332" t="n">
        <x:v>44743</x:v>
      </x:c>
      <x:c r="B332" s="12" t="n">
        <x:v>7301698</x:v>
      </x:c>
      <x:c r="C332" s="12" t="n">
        <x:v>16823238</x:v>
      </x:c>
      <x:c r="D332" s="12" t="n">
        <x:v>26511419</x:v>
      </x:c>
      <x:c r="E332" s="12" t="n">
        <x:v>5335321</x:v>
      </x:c>
      <x:c r="F332" s="12" t="n">
        <x:v>43334657</x:v>
      </x:c>
      <x:c r="G332" t="str">
        <x:v>Loving</x:v>
      </x:c>
      <x:c r="H332" t="n">
        <x:v>2022</x:v>
      </x:c>
      <x:c r="I332" s="12" t="n">
        <x:v>12637019</x:v>
      </x:c>
      <x:c r="J332" s="14" t="n">
        <x:v>5.93487391562894</x:v>
      </x:c>
      <x:c r="K332" s="14" t="n">
        <x:v>3.4291834965192343</x:v>
      </x:c>
    </x:row>
    <x:row r="333">
      <x:c r="A333" t="n">
        <x:v>44774</x:v>
      </x:c>
      <x:c r="B333" s="12" t="n">
        <x:v>7000397</x:v>
      </x:c>
      <x:c r="C333" s="12" t="n">
        <x:v>16453657</x:v>
      </x:c>
      <x:c r="D333" s="12" t="n">
        <x:v>28518750</x:v>
      </x:c>
      <x:c r="E333" s="12" t="n">
        <x:v>5857639</x:v>
      </x:c>
      <x:c r="F333" s="12" t="n">
        <x:v>44972407</x:v>
      </x:c>
      <x:c r="G333" t="str">
        <x:v>Loving</x:v>
      </x:c>
      <x:c r="H333" t="n">
        <x:v>2022</x:v>
      </x:c>
      <x:c r="I333" s="12" t="n">
        <x:v>12858036</x:v>
      </x:c>
      <x:c r="J333" s="14" t="n">
        <x:v>6.424265223815164</x:v>
      </x:c>
      <x:c r="K333" s="14" t="n">
        <x:v>3.497610910406535</x:v>
      </x:c>
    </x:row>
    <x:row r="334">
      <x:c r="A334" t="n">
        <x:v>44805</x:v>
      </x:c>
      <x:c r="B334" s="12" t="n">
        <x:v>7151900</x:v>
      </x:c>
      <x:c r="C334" s="12" t="n">
        <x:v>16928767</x:v>
      </x:c>
      <x:c r="D334" s="12" t="n">
        <x:v>26742637</x:v>
      </x:c>
      <x:c r="E334" s="12" t="n">
        <x:v>5316685</x:v>
      </x:c>
      <x:c r="F334" s="12" t="n">
        <x:v>43671404</x:v>
      </x:c>
      <x:c r="G334" t="str">
        <x:v>Loving</x:v>
      </x:c>
      <x:c r="H334" t="n">
        <x:v>2022</x:v>
      </x:c>
      <x:c r="I334" s="12" t="n">
        <x:v>12468585</x:v>
      </x:c>
      <x:c r="J334" s="14" t="n">
        <x:v>6.106266027209553</x:v>
      </x:c>
      <x:c r="K334" s="14" t="n">
        <x:v>3.5025148402966333</x:v>
      </x:c>
    </x:row>
    <x:row r="335">
      <x:c r="A335" t="n">
        <x:v>44835</x:v>
      </x:c>
      <x:c r="B335" s="12" t="n">
        <x:v>7546659</x:v>
      </x:c>
      <x:c r="C335" s="12" t="n">
        <x:v>17563919</x:v>
      </x:c>
      <x:c r="D335" s="12" t="n">
        <x:v>26690296</x:v>
      </x:c>
      <x:c r="E335" s="12" t="n">
        <x:v>5273822</x:v>
      </x:c>
      <x:c r="F335" s="12" t="n">
        <x:v>44254215</x:v>
      </x:c>
      <x:c r="G335" t="str">
        <x:v>Loving</x:v>
      </x:c>
      <x:c r="H335" t="n">
        <x:v>2022</x:v>
      </x:c>
      <x:c r="I335" s="12" t="n">
        <x:v>12820481</x:v>
      </x:c>
      <x:c r="J335" s="14" t="n">
        <x:v>5.86408038312053</x:v>
      </x:c>
      <x:c r="K335" s="14" t="n">
        <x:v>3.4518373374602715</x:v>
      </x:c>
    </x:row>
    <x:row r="336">
      <x:c r="A336" t="n">
        <x:v>44866</x:v>
      </x:c>
      <x:c r="B336" s="12" t="n">
        <x:v>7579978</x:v>
      </x:c>
      <x:c r="C336" s="12" t="n">
        <x:v>16831067</x:v>
      </x:c>
      <x:c r="D336" s="12" t="n">
        <x:v>24825654</x:v>
      </x:c>
      <x:c r="E336" s="12" t="n">
        <x:v>4972557</x:v>
      </x:c>
      <x:c r="F336" s="12" t="n">
        <x:v>41656721</x:v>
      </x:c>
      <x:c r="G336" t="str">
        <x:v>Loving</x:v>
      </x:c>
      <x:c r="H336" t="n">
        <x:v>2022</x:v>
      </x:c>
      <x:c r="I336" s="12" t="n">
        <x:v>12552535</x:v>
      </x:c>
      <x:c r="J336" s="14" t="n">
        <x:v>5.4956255809713435</x:v>
      </x:c>
      <x:c r="K336" s="14" t="n">
        <x:v>3.3185903086508026</x:v>
      </x:c>
    </x:row>
    <x:row r="337">
      <x:c r="A337" t="n">
        <x:v>44896</x:v>
      </x:c>
      <x:c r="B337" s="12" t="n">
        <x:v>8173195</x:v>
      </x:c>
      <x:c r="C337" s="12" t="n">
        <x:v>17926416</x:v>
      </x:c>
      <x:c r="D337" s="12" t="n">
        <x:v>24647471</x:v>
      </x:c>
      <x:c r="E337" s="12" t="n">
        <x:v>4849648</x:v>
      </x:c>
      <x:c r="F337" s="12" t="n">
        <x:v>42573887</x:v>
      </x:c>
      <x:c r="G337" t="str">
        <x:v>Loving</x:v>
      </x:c>
      <x:c r="H337" t="n">
        <x:v>2022</x:v>
      </x:c>
      <x:c r="I337" s="12" t="n">
        <x:v>13022843</x:v>
      </x:c>
      <x:c r="J337" s="14" t="n">
        <x:v>5.208965037540398</x:v>
      </x:c>
      <x:c r="K337" s="14" t="n">
        <x:v>3.2691699500638993</x:v>
      </x:c>
    </x:row>
    <x:row r="338">
      <x:c r="A338" t="n">
        <x:v>44927</x:v>
      </x:c>
      <x:c r="B338" s="12" t="n">
        <x:v>8243494</x:v>
      </x:c>
      <x:c r="C338" s="12" t="n">
        <x:v>18120311</x:v>
      </x:c>
      <x:c r="D338" s="12" t="n">
        <x:v>25590250</x:v>
      </x:c>
      <x:c r="E338" s="12" t="n">
        <x:v>5013527</x:v>
      </x:c>
      <x:c r="F338" s="12" t="n">
        <x:v>43710561</x:v>
      </x:c>
      <x:c r="G338" t="str">
        <x:v>Loving</x:v>
      </x:c>
      <x:c r="H338" t="n">
        <x:v>2023</x:v>
      </x:c>
      <x:c r="I338" s="12" t="n">
        <x:v>13257021</x:v>
      </x:c>
      <x:c r="J338" s="14" t="n">
        <x:v>5.302431347678545</x:v>
      </x:c>
      <x:c r="K338" s="14" t="n">
        <x:v>3.2971631409499915</x:v>
      </x:c>
    </x:row>
    <x:row r="339">
      <x:c r="A339" t="n">
        <x:v>44958</x:v>
      </x:c>
      <x:c r="B339" s="12" t="n">
        <x:v>7232079</x:v>
      </x:c>
      <x:c r="C339" s="12" t="n">
        <x:v>15882804</x:v>
      </x:c>
      <x:c r="D339" s="12" t="n">
        <x:v>23696980</x:v>
      </x:c>
      <x:c r="E339" s="12" t="n">
        <x:v>4764019</x:v>
      </x:c>
      <x:c r="F339" s="12" t="n">
        <x:v>39579784</x:v>
      </x:c>
      <x:c r="G339" t="str">
        <x:v>Loving</x:v>
      </x:c>
      <x:c r="H339" t="n">
        <x:v>2023</x:v>
      </x:c>
      <x:c r="I339" s="12" t="n">
        <x:v>11996098</x:v>
      </x:c>
      <x:c r="J339" s="14" t="n">
        <x:v>5.472808579662916</x:v>
      </x:c>
      <x:c r="K339" s="14" t="n">
        <x:v>3.299388184391291</x:v>
      </x:c>
    </x:row>
    <x:row r="340">
      <x:c r="A340" t="n">
        <x:v>44986</x:v>
      </x:c>
      <x:c r="B340" s="12" t="n">
        <x:v>8546822</x:v>
      </x:c>
      <x:c r="C340" s="12" t="n">
        <x:v>19100303</x:v>
      </x:c>
      <x:c r="D340" s="12" t="n">
        <x:v>28111154</x:v>
      </x:c>
      <x:c r="E340" s="12" t="n">
        <x:v>5458782</x:v>
      </x:c>
      <x:c r="F340" s="12" t="n">
        <x:v>47211457</x:v>
      </x:c>
      <x:c r="G340" t="str">
        <x:v>Loving</x:v>
      </x:c>
      <x:c r="H340" t="n">
        <x:v>2023</x:v>
      </x:c>
      <x:c r="I340" s="12" t="n">
        <x:v>14005604</x:v>
      </x:c>
      <x:c r="J340" s="14" t="n">
        <x:v>5.523861032790902</x:v>
      </x:c>
      <x:c r="K340" s="14" t="n">
        <x:v>3.3708976064152605</x:v>
      </x:c>
    </x:row>
    <x:row r="341">
      <x:c r="A341" t="n">
        <x:v>45017</x:v>
      </x:c>
      <x:c r="B341" s="12" t="n">
        <x:v>7994328</x:v>
      </x:c>
      <x:c r="C341" s="12" t="n">
        <x:v>17995421</x:v>
      </x:c>
      <x:c r="D341" s="12" t="n">
        <x:v>26365914</x:v>
      </x:c>
      <x:c r="E341" s="12" t="n">
        <x:v>4924063</x:v>
      </x:c>
      <x:c r="F341" s="12" t="n">
        <x:v>44361335</x:v>
      </x:c>
      <x:c r="G341" t="str">
        <x:v>Loving</x:v>
      </x:c>
      <x:c r="H341" t="n">
        <x:v>2023</x:v>
      </x:c>
      <x:c r="I341" s="12" t="n">
        <x:v>12918391</x:v>
      </x:c>
      <x:c r="J341" s="14" t="n">
        <x:v>5.549101187742109</x:v>
      </x:c>
      <x:c r="K341" s="14" t="n">
        <x:v>3.4339675118983473</x:v>
      </x:c>
    </x:row>
    <x:row r="342">
      <x:c r="A342" t="n">
        <x:v>45047</x:v>
      </x:c>
      <x:c r="B342" s="12" t="n">
        <x:v>8138803</x:v>
      </x:c>
      <x:c r="C342" s="12" t="n">
        <x:v>17991695</x:v>
      </x:c>
      <x:c r="D342" s="12" t="n">
        <x:v>27773165</x:v>
      </x:c>
      <x:c r="E342" s="12" t="n">
        <x:v>5344044</x:v>
      </x:c>
      <x:c r="F342" s="12" t="n">
        <x:v>45764860</x:v>
      </x:c>
      <x:c r="G342" t="str">
        <x:v>Loving</x:v>
      </x:c>
      <x:c r="H342" t="n">
        <x:v>2023</x:v>
      </x:c>
      <x:c r="I342" s="12" t="n">
        <x:v>13482847</x:v>
      </x:c>
      <x:c r="J342" s="14" t="n">
        <x:v>5.623045551047249</x:v>
      </x:c>
      <x:c r="K342" s="14" t="n">
        <x:v>3.394302405122598</x:v>
      </x:c>
    </x:row>
    <x:row r="343">
      <x:c r="A343" t="n">
        <x:v>45078</x:v>
      </x:c>
      <x:c r="B343" s="12" t="n">
        <x:v>7728840</x:v>
      </x:c>
      <x:c r="C343" s="12" t="n">
        <x:v>17565496</x:v>
      </x:c>
      <x:c r="D343" s="12" t="n">
        <x:v>27243855</x:v>
      </x:c>
      <x:c r="E343" s="12" t="n">
        <x:v>5034480</x:v>
      </x:c>
      <x:c r="F343" s="12" t="n">
        <x:v>44809351</x:v>
      </x:c>
      <x:c r="G343" t="str">
        <x:v>Loving</x:v>
      </x:c>
      <x:c r="H343" t="n">
        <x:v>2023</x:v>
      </x:c>
      <x:c r="I343" s="12" t="n">
        <x:v>12763320</x:v>
      </x:c>
      <x:c r="J343" s="14" t="n">
        <x:v>5.7976812820552635</x:v>
      </x:c>
      <x:c r="K343" s="14" t="n">
        <x:v>3.510791157786532</x:v>
      </x:c>
    </x:row>
    <x:row r="344">
      <x:c r="A344" t="n">
        <x:v>45108</x:v>
      </x:c>
      <x:c r="B344" s="12" t="n">
        <x:v>8534493</x:v>
      </x:c>
      <x:c r="C344" s="12" t="n">
        <x:v>19967427</x:v>
      </x:c>
      <x:c r="D344" s="12" t="n">
        <x:v>27499962</x:v>
      </x:c>
      <x:c r="E344" s="12" t="n">
        <x:v>5017520</x:v>
      </x:c>
      <x:c r="F344" s="12" t="n">
        <x:v>47467389</x:v>
      </x:c>
      <x:c r="G344" t="str">
        <x:v>Loving</x:v>
      </x:c>
      <x:c r="H344" t="n">
        <x:v>2023</x:v>
      </x:c>
      <x:c r="I344" s="12" t="n">
        <x:v>13552013</x:v>
      </x:c>
      <x:c r="J344" s="14" t="n">
        <x:v>5.561828804593313</x:v>
      </x:c>
      <x:c r="K344" s="14" t="n">
        <x:v>3.5026079889386175</x:v>
      </x:c>
    </x:row>
    <x:row r="345">
      <x:c r="A345" t="n">
        <x:v>45139</x:v>
      </x:c>
      <x:c r="B345" s="12" t="n">
        <x:v>8183191</x:v>
      </x:c>
      <x:c r="C345" s="12" t="n">
        <x:v>18533131</x:v>
      </x:c>
      <x:c r="D345" s="12" t="n">
        <x:v>27305977</x:v>
      </x:c>
      <x:c r="E345" s="12" t="n">
        <x:v>5050845</x:v>
      </x:c>
      <x:c r="F345" s="12" t="n">
        <x:v>45839108</x:v>
      </x:c>
      <x:c r="G345" t="str">
        <x:v>Loving</x:v>
      </x:c>
      <x:c r="H345" t="n">
        <x:v>2023</x:v>
      </x:c>
      <x:c r="I345" s="12" t="n">
        <x:v>13234036</x:v>
      </x:c>
      <x:c r="J345" s="14" t="n">
        <x:v>5.601617755225315</x:v>
      </x:c>
      <x:c r="K345" s="14" t="n">
        <x:v>3.4637285254475656</x:v>
      </x:c>
    </x:row>
    <x:row r="346">
      <x:c r="A346" t="n">
        <x:v>45170</x:v>
      </x:c>
      <x:c r="B346" s="12" t="n">
        <x:v>7994207</x:v>
      </x:c>
      <x:c r="C346" s="12" t="n">
        <x:v>18866648</x:v>
      </x:c>
      <x:c r="D346" s="12" t="n">
        <x:v>26974752</x:v>
      </x:c>
      <x:c r="E346" s="12" t="n">
        <x:v>4987635</x:v>
      </x:c>
      <x:c r="F346" s="12" t="n">
        <x:v>45841400</x:v>
      </x:c>
      <x:c r="G346" t="str">
        <x:v>Loving</x:v>
      </x:c>
      <x:c r="H346" t="n">
        <x:v>2023</x:v>
      </x:c>
      <x:c r="I346" s="12" t="n">
        <x:v>12981842</x:v>
      </x:c>
      <x:c r="J346" s="14" t="n">
        <x:v>5.734327369806661</x:v>
      </x:c>
      <x:c r="K346" s="14" t="n">
        <x:v>3.5311938013110926</x:v>
      </x:c>
    </x:row>
    <x:row r="347">
      <x:c r="A347" t="n">
        <x:v>45200</x:v>
      </x:c>
      <x:c r="B347" s="12" t="n">
        <x:v>8050401</x:v>
      </x:c>
      <x:c r="C347" s="12" t="n">
        <x:v>18501241</x:v>
      </x:c>
      <x:c r="D347" s="12" t="n">
        <x:v>27085515</x:v>
      </x:c>
      <x:c r="E347" s="12" t="n">
        <x:v>5046246</x:v>
      </x:c>
      <x:c r="F347" s="12" t="n">
        <x:v>45586756</x:v>
      </x:c>
      <x:c r="G347" t="str">
        <x:v>Loving</x:v>
      </x:c>
      <x:c r="H347" t="n">
        <x:v>2023</x:v>
      </x:c>
      <x:c r="I347" s="12" t="n">
        <x:v>13096647</x:v>
      </x:c>
      <x:c r="J347" s="14" t="n">
        <x:v>5.662668977607451</x:v>
      </x:c>
      <x:c r="K347" s="14" t="n">
        <x:v>3.480795962508572</x:v>
      </x:c>
    </x:row>
    <x:row r="348">
      <x:c r="A348" t="n">
        <x:v>45231</x:v>
      </x:c>
      <x:c r="B348" s="12" t="n">
        <x:v>8329352</x:v>
      </x:c>
      <x:c r="C348" s="12" t="n">
        <x:v>19879321</x:v>
      </x:c>
      <x:c r="D348" s="12" t="n">
        <x:v>26640986</x:v>
      </x:c>
      <x:c r="E348" s="12" t="n">
        <x:v>5067861</x:v>
      </x:c>
      <x:c r="F348" s="12" t="n">
        <x:v>46520307</x:v>
      </x:c>
      <x:c r="G348" t="str">
        <x:v>Loving</x:v>
      </x:c>
      <x:c r="H348" t="n">
        <x:v>2023</x:v>
      </x:c>
      <x:c r="I348" s="12" t="n">
        <x:v>13397213</x:v>
      </x:c>
      <x:c r="J348" s="14" t="n">
        <x:v>5.585105179850726</x:v>
      </x:c>
      <x:c r="K348" s="14" t="n">
        <x:v>3.4723869061423445</x:v>
      </x:c>
    </x:row>
    <x:row r="349">
      <x:c r="A349" t="n">
        <x:v>45261</x:v>
      </x:c>
      <x:c r="B349" s="12" t="n">
        <x:v>9283565</x:v>
      </x:c>
      <x:c r="C349" s="12" t="n">
        <x:v>21981796</x:v>
      </x:c>
      <x:c r="D349" s="12" t="n">
        <x:v>28499724</x:v>
      </x:c>
      <x:c r="E349" s="12" t="n">
        <x:v>5304864</x:v>
      </x:c>
      <x:c r="F349" s="12" t="n">
        <x:v>50481520</x:v>
      </x:c>
      <x:c r="G349" t="str">
        <x:v>Loving</x:v>
      </x:c>
      <x:c r="H349" t="n">
        <x:v>2023</x:v>
      </x:c>
      <x:c r="I349" s="12" t="n">
        <x:v>14588429</x:v>
      </x:c>
      <x:c r="J349" s="14" t="n">
        <x:v>5.437730009969231</x:v>
      </x:c>
      <x:c r="K349" s="14" t="n">
        <x:v>3.460380826475558</x:v>
      </x:c>
    </x:row>
    <x:row r="350">
      <x:c r="A350" t="n">
        <x:v>45292</x:v>
      </x:c>
      <x:c r="B350" s="12" t="n">
        <x:v>8867133</x:v>
      </x:c>
      <x:c r="C350" s="12" t="n">
        <x:v>21256518</x:v>
      </x:c>
      <x:c r="D350" s="12" t="n">
        <x:v>28462763</x:v>
      </x:c>
      <x:c r="E350" s="12" t="n">
        <x:v>5516930</x:v>
      </x:c>
      <x:c r="F350" s="12" t="n">
        <x:v>49719281</x:v>
      </x:c>
      <x:c r="G350" t="str">
        <x:v>Loving</x:v>
      </x:c>
      <x:c r="H350" t="n">
        <x:v>2024</x:v>
      </x:c>
      <x:c r="I350" s="12" t="n">
        <x:v>14384063</x:v>
      </x:c>
      <x:c r="J350" s="14" t="n">
        <x:v>5.60714280478256</x:v>
      </x:c>
      <x:c r="K350" s="14" t="n">
        <x:v>3.4565533396231647</x:v>
      </x:c>
    </x:row>
    <x:row r="351">
      <x:c r="A351" t="n">
        <x:v>45323</x:v>
      </x:c>
      <x:c r="B351" s="12" t="n">
        <x:v>8613650</x:v>
      </x:c>
      <x:c r="C351" s="12" t="n">
        <x:v>21027607</x:v>
      </x:c>
      <x:c r="D351" s="12" t="n">
        <x:v>28500991</x:v>
      </x:c>
      <x:c r="E351" s="12" t="n">
        <x:v>5492813</x:v>
      </x:c>
      <x:c r="F351" s="12" t="n">
        <x:v>49528598</x:v>
      </x:c>
      <x:c r="G351" t="str">
        <x:v>Loving</x:v>
      </x:c>
      <x:c r="H351" t="n">
        <x:v>2024</x:v>
      </x:c>
      <x:c r="I351" s="12" t="n">
        <x:v>14106463</x:v>
      </x:c>
      <x:c r="J351" s="14" t="n">
        <x:v>5.750012828475733</x:v>
      </x:c>
      <x:c r="K351" s="14" t="n">
        <x:v>3.5110571657828045</x:v>
      </x:c>
    </x:row>
    <x:row r="352">
      <x:c r="A352" t="n">
        <x:v>45352</x:v>
      </x:c>
      <x:c r="B352" s="12" t="n">
        <x:v>9066644</x:v>
      </x:c>
      <x:c r="C352" s="12" t="n">
        <x:v>22768727</x:v>
      </x:c>
      <x:c r="D352" s="12" t="n">
        <x:v>30815282</x:v>
      </x:c>
      <x:c r="E352" s="12" t="n">
        <x:v>5699069</x:v>
      </x:c>
      <x:c r="F352" s="12" t="n">
        <x:v>53584009</x:v>
      </x:c>
      <x:c r="G352" t="str">
        <x:v>Loving</x:v>
      </x:c>
      <x:c r="H352" t="n">
        <x:v>2024</x:v>
      </x:c>
      <x:c r="I352" s="12" t="n">
        <x:v>14765713</x:v>
      </x:c>
      <x:c r="J352" s="14" t="n">
        <x:v>5.910015767686478</x:v>
      </x:c>
      <x:c r="K352" s="14" t="n">
        <x:v>3.628948293929321</x:v>
      </x:c>
    </x:row>
    <x:row r="353">
      <x:c r="A353" t="n">
        <x:v>45383</x:v>
      </x:c>
      <x:c r="B353" s="12" t="n">
        <x:v>8448350</x:v>
      </x:c>
      <x:c r="C353" s="12" t="n">
        <x:v>21058335</x:v>
      </x:c>
      <x:c r="D353" s="12" t="n">
        <x:v>28807350</x:v>
      </x:c>
      <x:c r="E353" s="12" t="n">
        <x:v>5129534</x:v>
      </x:c>
      <x:c r="F353" s="12" t="n">
        <x:v>49865685</x:v>
      </x:c>
      <x:c r="G353" t="str">
        <x:v>Loving</x:v>
      </x:c>
      <x:c r="H353" t="n">
        <x:v>2024</x:v>
      </x:c>
      <x:c r="I353" s="12" t="n">
        <x:v>13577884</x:v>
      </x:c>
      <x:c r="J353" s="14" t="n">
        <x:v>5.902417040013731</x:v>
      </x:c>
      <x:c r="K353" s="14" t="n">
        <x:v>3.6725667268920548</x:v>
      </x:c>
    </x:row>
    <x:row r="354">
      <x:c r="A354" t="n">
        <x:v>45413</x:v>
      </x:c>
      <x:c r="B354" s="12" t="n">
        <x:v>9404336</x:v>
      </x:c>
      <x:c r="C354" s="12" t="n">
        <x:v>22417875</x:v>
      </x:c>
      <x:c r="D354" s="12" t="n">
        <x:v>28353319</x:v>
      </x:c>
      <x:c r="E354" s="12" t="n">
        <x:v>4929191</x:v>
      </x:c>
      <x:c r="F354" s="12" t="n">
        <x:v>50771194</x:v>
      </x:c>
      <x:c r="G354" t="str">
        <x:v>Loving</x:v>
      </x:c>
      <x:c r="H354" t="n">
        <x:v>2024</x:v>
      </x:c>
      <x:c r="I354" s="12" t="n">
        <x:v>14333527</x:v>
      </x:c>
      <x:c r="J354" s="14" t="n">
        <x:v>5.398700556849521</x:v>
      </x:c>
      <x:c r="K354" s="14" t="n">
        <x:v>3.5421284656595686</x:v>
      </x:c>
    </x:row>
    <x:row r="355">
      <x:c r="A355" t="n">
        <x:v>45444</x:v>
      </x:c>
      <x:c r="B355" s="12" t="n">
        <x:v>9442292</x:v>
      </x:c>
      <x:c r="C355" s="12" t="n">
        <x:v>23104283</x:v>
      </x:c>
      <x:c r="D355" s="12" t="n">
        <x:v>29516582</x:v>
      </x:c>
      <x:c r="E355" s="12" t="n">
        <x:v>5303273</x:v>
      </x:c>
      <x:c r="F355" s="12" t="n">
        <x:v>52620865</x:v>
      </x:c>
      <x:c r="G355" t="str">
        <x:v>Loving</x:v>
      </x:c>
      <x:c r="H355" t="n">
        <x:v>2024</x:v>
      </x:c>
      <x:c r="I355" s="12" t="n">
        <x:v>14745565</x:v>
      </x:c>
      <x:c r="J355" s="14" t="n">
        <x:v>5.572891094662186</x:v>
      </x:c>
      <x:c r="K355" s="14" t="n">
        <x:v>3.5685892673491995</x:v>
      </x:c>
    </x:row>
    <x:row r="356">
      <x:c r="A356" t="n">
        <x:v>45474</x:v>
      </x:c>
      <x:c r="B356" s="12" t="n">
        <x:v>9171929</x:v>
      </x:c>
      <x:c r="C356" s="12" t="n">
        <x:v>22894062</x:v>
      </x:c>
      <x:c r="D356" s="12" t="n">
        <x:v>30921545</x:v>
      </x:c>
      <x:c r="E356" s="12" t="n">
        <x:v>5601751</x:v>
      </x:c>
      <x:c r="F356" s="12" t="n">
        <x:v>53815607</x:v>
      </x:c>
      <x:c r="G356" t="str">
        <x:v>Loving</x:v>
      </x:c>
      <x:c r="H356" t="n">
        <x:v>2024</x:v>
      </x:c>
      <x:c r="I356" s="12" t="n">
        <x:v>14773680</x:v>
      </x:c>
      <x:c r="J356" s="14" t="n">
        <x:v>5.86742516214419</x:v>
      </x:c>
      <x:c r="K356" s="14" t="n">
        <x:v>3.642667703645943</x:v>
      </x:c>
    </x:row>
    <x:row r="357">
      <x:c r="A357" t="n">
        <x:v>45505</x:v>
      </x:c>
      <x:c r="B357" s="12" t="n">
        <x:v>9368925</x:v>
      </x:c>
      <x:c r="C357" s="12" t="n">
        <x:v>23577780</x:v>
      </x:c>
      <x:c r="D357" s="12" t="n">
        <x:v>33457713</x:v>
      </x:c>
      <x:c r="E357" s="12" t="n">
        <x:v>5860975</x:v>
      </x:c>
      <x:c r="F357" s="12" t="n">
        <x:v>57035493</x:v>
      </x:c>
      <x:c r="G357" t="str">
        <x:v>Loving</x:v>
      </x:c>
      <x:c r="H357" t="n">
        <x:v>2024</x:v>
      </x:c>
      <x:c r="I357" s="12" t="n">
        <x:v>15229900</x:v>
      </x:c>
      <x:c r="J357" s="14" t="n">
        <x:v>6.087730769538661</x:v>
      </x:c>
      <x:c r="K357" s="14" t="n">
        <x:v>3.7449683188990077</x:v>
      </x:c>
    </x:row>
    <x:row r="358">
      <x:c r="A358" t="n">
        <x:v>45536</x:v>
      </x:c>
      <x:c r="B358" s="12" t="n">
        <x:v>9037711</x:v>
      </x:c>
      <x:c r="C358" s="12" t="n">
        <x:v>22993047</x:v>
      </x:c>
      <x:c r="D358" s="12" t="n">
        <x:v>32952794</x:v>
      </x:c>
      <x:c r="E358" s="12" t="n">
        <x:v>5721897</x:v>
      </x:c>
      <x:c r="F358" s="12" t="n">
        <x:v>55945841</x:v>
      </x:c>
      <x:c r="G358" t="str">
        <x:v>Loving</x:v>
      </x:c>
      <x:c r="H358" t="n">
        <x:v>2024</x:v>
      </x:c>
      <x:c r="I358" s="12" t="n">
        <x:v>14759608</x:v>
      </x:c>
      <x:c r="J358" s="14" t="n">
        <x:v>6.190266650482628</x:v>
      </x:c>
      <x:c r="K358" s="14" t="n">
        <x:v>3.7904692997266594</x:v>
      </x:c>
    </x:row>
    <x:row r="359">
      <x:c r="A359" t="n">
        <x:v>45566</x:v>
      </x:c>
      <x:c r="B359" s="12" t="n">
        <x:v>9472529</x:v>
      </x:c>
      <x:c r="C359" s="12" t="n">
        <x:v>24033970</x:v>
      </x:c>
      <x:c r="D359" s="12" t="n">
        <x:v>35491638</x:v>
      </x:c>
      <x:c r="E359" s="12" t="n">
        <x:v>6202998</x:v>
      </x:c>
      <x:c r="F359" s="12" t="n">
        <x:v>59525608</x:v>
      </x:c>
      <x:c r="G359" t="str">
        <x:v>Loving</x:v>
      </x:c>
      <x:c r="H359" t="n">
        <x:v>2024</x:v>
      </x:c>
      <x:c r="I359" s="12" t="n">
        <x:v>15675527</x:v>
      </x:c>
      <x:c r="J359" s="14" t="n">
        <x:v>6.284024889234965</x:v>
      </x:c>
      <x:c r="K359" s="14" t="n">
        <x:v>3.7973592849541835</x:v>
      </x:c>
    </x:row>
    <x:row r="360">
      <x:c r="A360" t="n">
        <x:v>45597</x:v>
      </x:c>
      <x:c r="B360" s="12" t="n">
        <x:v>9423683</x:v>
      </x:c>
      <x:c r="C360" s="12" t="n">
        <x:v>23986424</x:v>
      </x:c>
      <x:c r="D360" s="12" t="n">
        <x:v>32853754</x:v>
      </x:c>
      <x:c r="E360" s="12" t="n">
        <x:v>5767397</x:v>
      </x:c>
      <x:c r="F360" s="12" t="n">
        <x:v>56840178</x:v>
      </x:c>
      <x:c r="G360" t="str">
        <x:v>Loving</x:v>
      </x:c>
      <x:c r="H360" t="n">
        <x:v>2024</x:v>
      </x:c>
      <x:c r="I360" s="12" t="n">
        <x:v>15191080</x:v>
      </x:c>
      <x:c r="J360" s="14" t="n">
        <x:v>6.031630945141088</x:v>
      </x:c>
      <x:c r="K360" s="14" t="n">
        <x:v>3.7416811707923334</x:v>
      </x:c>
    </x:row>
    <x:row r="361">
      <x:c r="A361" t="n">
        <x:v>45627</x:v>
      </x:c>
      <x:c r="B361" s="12" t="n">
        <x:v>9639470</x:v>
      </x:c>
      <x:c r="C361" s="12" t="n">
        <x:v>25307685</x:v>
      </x:c>
      <x:c r="D361" s="12" t="n">
        <x:v>32261015</x:v>
      </x:c>
      <x:c r="E361" s="12" t="n">
        <x:v>5414006</x:v>
      </x:c>
      <x:c r="F361" s="12" t="n">
        <x:v>57568700</x:v>
      </x:c>
      <x:c r="G361" t="str">
        <x:v>Loving</x:v>
      </x:c>
      <x:c r="H361" t="n">
        <x:v>2024</x:v>
      </x:c>
      <x:c r="I361" s="12" t="n">
        <x:v>15053476</x:v>
      </x:c>
      <x:c r="J361" s="14" t="n">
        <x:v>5.972185192754373</x:v>
      </x:c>
      <x:c r="K361" s="14" t="n">
        <x:v>3.8242795218858423</x:v>
      </x:c>
    </x:row>
    <x:row r="362">
      <x:c r="A362" t="n">
        <x:v>45658</x:v>
      </x:c>
      <x:c r="B362" s="12" t="n">
        <x:v>9513198</x:v>
      </x:c>
      <x:c r="C362" s="12" t="n">
        <x:v>24575727</x:v>
      </x:c>
      <x:c r="D362" s="12" t="n">
        <x:v>31725466</x:v>
      </x:c>
      <x:c r="E362" s="12" t="n">
        <x:v>5366144</x:v>
      </x:c>
      <x:c r="F362" s="12" t="n">
        <x:v>56301193</x:v>
      </x:c>
      <x:c r="G362" t="str">
        <x:v>Loving</x:v>
      </x:c>
      <x:c r="H362" t="n">
        <x:v>2025</x:v>
      </x:c>
      <x:c r="I362" s="12" t="n">
        <x:v>14879342</x:v>
      </x:c>
      <x:c r="J362" s="14" t="n">
        <x:v>5.918219404242401</x:v>
      </x:c>
      <x:c r="K362" s="14" t="n">
        <x:v>3.783849648727746</x:v>
      </x:c>
    </x:row>
    <x:row r="363">
      <x:c r="A363" t="n">
        <x:v>45689</x:v>
      </x:c>
      <x:c r="B363" s="12" t="n">
        <x:v>8631425</x:v>
      </x:c>
      <x:c r="C363" s="12" t="n">
        <x:v>22796967</x:v>
      </x:c>
      <x:c r="D363" s="12" t="n">
        <x:v>29144626</x:v>
      </x:c>
      <x:c r="E363" s="12" t="n">
        <x:v>4931018</x:v>
      </x:c>
      <x:c r="F363" s="12" t="n">
        <x:v>51941593</x:v>
      </x:c>
      <x:c r="G363" t="str">
        <x:v>Loving</x:v>
      </x:c>
      <x:c r="H363" t="n">
        <x:v>2025</x:v>
      </x:c>
      <x:c r="I363" s="12" t="n">
        <x:v>13562443</x:v>
      </x:c>
      <x:c r="J363" s="14" t="n">
        <x:v>6.01773090770064</x:v>
      </x:c>
      <x:c r="K363" s="14" t="n">
        <x:v>3.829810971371456</x:v>
      </x:c>
    </x:row>
    <x:row r="364">
      <x:c r="A364" t="n">
        <x:v>45717</x:v>
      </x:c>
      <x:c r="B364" s="12" t="n">
        <x:v>9184928</x:v>
      </x:c>
      <x:c r="C364" s="12" t="n">
        <x:v>24404553</x:v>
      </x:c>
      <x:c r="D364" s="12" t="n">
        <x:v>32359652</x:v>
      </x:c>
      <x:c r="E364" s="12" t="n">
        <x:v>5399739</x:v>
      </x:c>
      <x:c r="F364" s="12" t="n">
        <x:v>56764205</x:v>
      </x:c>
      <x:c r="G364" t="str">
        <x:v>Loving</x:v>
      </x:c>
      <x:c r="H364" t="n">
        <x:v>2025</x:v>
      </x:c>
      <x:c r="I364" s="12" t="n">
        <x:v>14584667</x:v>
      </x:c>
      <x:c r="J364" s="14" t="n">
        <x:v>6.180146975566929</x:v>
      </x:c>
      <x:c r="K364" s="14" t="n">
        <x:v>3.892046695341073</x:v>
      </x:c>
    </x:row>
    <x:row r="365">
      <x:c r="A365" t="n">
        <x:v>45748</x:v>
      </x:c>
      <x:c r="B365" s="12" t="n">
        <x:v>9368532</x:v>
      </x:c>
      <x:c r="C365" s="12" t="n">
        <x:v>24885897</x:v>
      </x:c>
      <x:c r="D365" s="12" t="n">
        <x:v>33133111</x:v>
      </x:c>
      <x:c r="E365" s="12" t="n">
        <x:v>5392370</x:v>
      </x:c>
      <x:c r="F365" s="12" t="n">
        <x:v>58019008</x:v>
      </x:c>
      <x:c r="G365" t="str">
        <x:v>Loving</x:v>
      </x:c>
      <x:c r="H365" t="n">
        <x:v>2025</x:v>
      </x:c>
      <x:c r="I365" s="12" t="n">
        <x:v>14760902</x:v>
      </x:c>
      <x:c r="J365" s="14" t="n">
        <x:v>6.19296683834778</x:v>
      </x:c>
      <x:c r="K365" s="14" t="n">
        <x:v>3.930586897738363</x:v>
      </x:c>
    </x:row>
    <x:row r="366">
      <x:c r="A366" t="n">
        <x:v>45778</x:v>
      </x:c>
      <x:c r="B366" s="12" t="n">
        <x:v>9665024</x:v>
      </x:c>
      <x:c r="C366" s="12" t="n">
        <x:v>25910689</x:v>
      </x:c>
      <x:c r="D366" s="12" t="n">
        <x:v>35728545</x:v>
      </x:c>
      <x:c r="E366" s="12" t="n">
        <x:v>5664878</x:v>
      </x:c>
      <x:c r="F366" s="12" t="n">
        <x:v>61639234</x:v>
      </x:c>
      <x:c r="G366" t="str">
        <x:v>Loving</x:v>
      </x:c>
      <x:c r="H366" t="n">
        <x:v>2025</x:v>
      </x:c>
      <x:c r="I366" s="12" t="n">
        <x:v>15329902</x:v>
      </x:c>
      <x:c r="J366" s="14" t="n">
        <x:v>6.3775562274858295</x:v>
      </x:c>
      <x:c r="K366" s="14" t="n">
        <x:v>4.020849839744573</x:v>
      </x:c>
    </x:row>
    <x:row r="367">
      <x:c r="A367" t="n">
        <x:v>45809</x:v>
      </x:c>
      <x:c r="B367" s="12" t="n">
        <x:v>8940065</x:v>
      </x:c>
      <x:c r="C367" s="12" t="n">
        <x:v>24142100</x:v>
      </x:c>
      <x:c r="D367" s="12" t="n">
        <x:v>32680026</x:v>
      </x:c>
      <x:c r="E367" s="12" t="n">
        <x:v>5061915</x:v>
      </x:c>
      <x:c r="F367" s="12" t="n">
        <x:v>56822126</x:v>
      </x:c>
      <x:c r="G367" t="str">
        <x:v>Loving</x:v>
      </x:c>
      <x:c r="H367" t="n">
        <x:v>2025</x:v>
      </x:c>
      <x:c r="I367" s="12" t="n">
        <x:v>14001980</x:v>
      </x:c>
      <x:c r="J367" s="14" t="n">
        <x:v>6.355896293818893</x:v>
      </x:c>
      <x:c r="K367" s="14" t="n">
        <x:v>4.058149347449432</x:v>
      </x:c>
    </x:row>
    <x:row r="368">
      <x:c r="A368" t="n">
        <x:v>45839</x:v>
      </x:c>
      <x:c r="B368" s="12" t="n">
        <x:v>9704381</x:v>
      </x:c>
      <x:c r="C368" s="12" t="n">
        <x:v>26029846</x:v>
      </x:c>
      <x:c r="D368" s="12" t="n">
        <x:v>36169397</x:v>
      </x:c>
      <x:c r="E368" s="12" t="n">
        <x:v>5769572</x:v>
      </x:c>
      <x:c r="F368" s="12" t="n">
        <x:v>62199243</x:v>
      </x:c>
      <x:c r="G368" t="str">
        <x:v>Loving</x:v>
      </x:c>
      <x:c r="H368" t="n">
        <x:v>2025</x:v>
      </x:c>
      <x:c r="I368" s="12" t="n">
        <x:v>15473953</x:v>
      </x:c>
      <x:c r="J368" s="14" t="n">
        <x:v>6.409398291349031</x:v>
      </x:c>
      <x:c r="K368" s="14" t="n">
        <x:v>4.019609145769023</x:v>
      </x:c>
    </x:row>
    <x:row r="369">
      <x:c r="A369" t="n">
        <x:v>45870</x:v>
      </x:c>
      <x:c r="B369" s="12" t="n">
        <x:v>9529591</x:v>
      </x:c>
      <x:c r="C369" s="12" t="n">
        <x:v>25797095</x:v>
      </x:c>
      <x:c r="D369" s="12" t="n">
        <x:v>35545588</x:v>
      </x:c>
      <x:c r="E369" s="12" t="n">
        <x:v>5624479</x:v>
      </x:c>
      <x:c r="F369" s="12" t="n">
        <x:v>61342683</x:v>
      </x:c>
      <x:c r="G369" t="str">
        <x:v>Loving</x:v>
      </x:c>
      <x:c r="H369" t="n">
        <x:v>2025</x:v>
      </x:c>
      <x:c r="I369" s="12" t="n">
        <x:v>15154070</x:v>
      </x:c>
      <x:c r="J369" s="14" t="n">
        <x:v>6.4370740570083225</x:v>
      </x:c>
      <x:c r="K369" s="14" t="n">
        <x:v>4.047934515282033</x:v>
      </x:c>
    </x:row>
    <x:row r="370">
      <x:c r="A370" t="n">
        <x:v>45901</x:v>
      </x:c>
      <x:c r="B370" s="12" t="n">
        <x:v>9586578</x:v>
      </x:c>
      <x:c r="C370" s="12" t="n">
        <x:v>25826927</x:v>
      </x:c>
      <x:c r="D370" s="12" t="n">
        <x:v>32388932</x:v>
      </x:c>
      <x:c r="E370" s="12" t="n">
        <x:v>5082734</x:v>
      </x:c>
      <x:c r="F370" s="12" t="n">
        <x:v>58215859</x:v>
      </x:c>
      <x:c r="G370" t="str">
        <x:v>Loving</x:v>
      </x:c>
      <x:c r="H370" t="n">
        <x:v>2025</x:v>
      </x:c>
      <x:c r="I370" s="12" t="n">
        <x:v>14669312</x:v>
      </x:c>
      <x:c r="J370" s="14" t="n">
        <x:v>6.072642292171409</x:v>
      </x:c>
      <x:c r="K370" s="14" t="n">
        <x:v>3.968547332008481</x:v>
      </x:c>
    </x:row>
    <x:row r="371">
      <x:c r="A371" t="n">
        <x:v>45931</x:v>
      </x:c>
      <x:c r="B371" s="12" t="n">
        <x:v>10246726</x:v>
      </x:c>
      <x:c r="C371" s="12" t="n">
        <x:v>27701376</x:v>
      </x:c>
      <x:c r="D371" s="12" t="n">
        <x:v>32659165</x:v>
      </x:c>
      <x:c r="E371" s="12" t="n">
        <x:v>5234208</x:v>
      </x:c>
      <x:c r="F371" s="12" t="n">
        <x:v>60360541</x:v>
      </x:c>
      <x:c r="G371" t="str">
        <x:v>Loving</x:v>
      </x:c>
      <x:c r="H371" t="n">
        <x:v>2025</x:v>
      </x:c>
      <x:c r="I371" s="12" t="n">
        <x:v>15480934</x:v>
      </x:c>
      <x:c r="J371" s="14" t="n">
        <x:v>5.89071484882098</x:v>
      </x:c>
      <x:c r="K371" s="14" t="n">
        <x:v>3.8990245033019324</x:v>
      </x:c>
    </x:row>
    <x:row r="372">
      <x:c r="A372" t="n">
        <x:v>45962</x:v>
      </x:c>
      <x:c r="B372" s="12" t="n">
        <x:v>9623128</x:v>
      </x:c>
      <x:c r="C372" s="12" t="n">
        <x:v>26804672</x:v>
      </x:c>
      <x:c r="D372" s="12" t="n">
        <x:v>31248606</x:v>
      </x:c>
      <x:c r="E372" s="12" t="n">
        <x:v>4976730</x:v>
      </x:c>
      <x:c r="F372" s="12" t="n">
        <x:v>58053278</x:v>
      </x:c>
      <x:c r="G372" t="str">
        <x:v>Loving</x:v>
      </x:c>
      <x:c r="H372" t="n">
        <x:v>2025</x:v>
      </x:c>
      <x:c r="I372" s="12" t="n">
        <x:v>14599858</x:v>
      </x:c>
      <x:c r="J372" s="14" t="n">
        <x:v>6.03268272021322</x:v>
      </x:c>
      <x:c r="K372" s="14" t="n">
        <x:v>3.97629059131945</x:v>
      </x:c>
    </x:row>
    <x:row r="373">
      <x:c r="A373" t="n">
        <x:v>45992</x:v>
      </x:c>
      <x:c r="B373" s="12" t="n">
        <x:v>9760773</x:v>
      </x:c>
      <x:c r="C373" s="12" t="n">
        <x:v>27285576</x:v>
      </x:c>
      <x:c r="D373" s="12" t="n">
        <x:v>33099550</x:v>
      </x:c>
      <x:c r="E373" s="12" t="n">
        <x:v>5261440</x:v>
      </x:c>
      <x:c r="F373" s="12" t="n">
        <x:v>60385126</x:v>
      </x:c>
      <x:c r="G373" t="str">
        <x:v>Loving</x:v>
      </x:c>
      <x:c r="H373" t="n">
        <x:v>2025</x:v>
      </x:c>
      <x:c r="I373" s="12" t="n">
        <x:v>15022213</x:v>
      </x:c>
      <x:c r="J373" s="14" t="n">
        <x:v>6.186510638040655</x:v>
      </x:c>
      <x:c r="K373" s="14" t="n">
        <x:v>4.0197223937644875</x:v>
      </x:c>
    </x:row>
    <x:row r="374">
      <x:c r="A374" t="n">
        <x:v>46023</x:v>
      </x:c>
      <x:c r="B374" s="12" t="n">
        <x:v>9544676</x:v>
      </x:c>
      <x:c r="C374" s="12" t="n">
        <x:v>26014167</x:v>
      </x:c>
      <x:c r="D374" s="12" t="n">
        <x:v>33063119</x:v>
      </x:c>
      <x:c r="E374" s="12" t="n">
        <x:v>5241921</x:v>
      </x:c>
      <x:c r="F374" s="12" t="n">
        <x:v>59077286</x:v>
      </x:c>
      <x:c r="G374" t="str">
        <x:v>Loving</x:v>
      </x:c>
      <x:c r="H374" t="n">
        <x:v>2026</x:v>
      </x:c>
      <x:c r="I374" s="12" t="n">
        <x:v>14786597</x:v>
      </x:c>
      <x:c r="J374" s="14" t="n">
        <x:v>6.189553841324734</x:v>
      </x:c>
      <x:c r="K374" s="14" t="n">
        <x:v>3.9953267137800537</x:v>
      </x:c>
    </x:row>
    <x:row r="375">
      <x:c r="A375" t="n">
        <x:v>46054</x:v>
      </x:c>
      <x:c r="B375" s="12" t="n">
        <x:v>8820537</x:v>
      </x:c>
      <x:c r="C375" s="12" t="n">
        <x:v>24890584</x:v>
      </x:c>
      <x:c r="D375" s="12" t="n">
        <x:v>30051926</x:v>
      </x:c>
      <x:c r="E375" s="12" t="n">
        <x:v>4676844</x:v>
      </x:c>
      <x:c r="F375" s="12" t="n">
        <x:v>54942510</x:v>
      </x:c>
      <x:c r="G375" t="str">
        <x:v>Loving</x:v>
      </x:c>
      <x:c r="H375" t="n">
        <x:v>2026</x:v>
      </x:c>
      <x:c r="I375" s="12" t="n">
        <x:v>13497381</x:v>
      </x:c>
      <x:c r="J375" s="14" t="n">
        <x:v>6.228930279414961</x:v>
      </x:c>
      <x:c r="K375" s="14" t="n">
        <x:v>4.070605252974633</x:v>
      </x:c>
    </x:row>
    <x:row r="376">
      <x:c r="A376" t="n">
        <x:v>46082</x:v>
      </x:c>
      <x:c r="B376" s="12" t="n">
        <x:v>9555708</x:v>
      </x:c>
      <x:c r="C376" s="12" t="n">
        <x:v>27775441</x:v>
      </x:c>
      <x:c r="D376" s="12" t="n">
        <x:v>30718465</x:v>
      </x:c>
      <x:c r="E376" s="12" t="n">
        <x:v>4724629</x:v>
      </x:c>
      <x:c r="F376" s="12" t="n">
        <x:v>58493906</x:v>
      </x:c>
      <x:c r="G376" t="str">
        <x:v>Loving</x:v>
      </x:c>
      <x:c r="H376" t="n">
        <x:v>2026</x:v>
      </x:c>
      <x:c r="I376" s="12" t="n">
        <x:v>14280337</x:v>
      </x:c>
      <x:c r="J376" s="14" t="n">
        <x:v>6.121357622062122</x:v>
      </x:c>
      <x:c r="K376" s="14" t="n">
        <x:v>4.096115238737013</x:v>
      </x:c>
    </x:row>
  </x:sheetData>
  <x:pageMargins left="0.7" right="0.7" top="0.75" bottom="0.75" header="0.3" footer="0.3"/>
  <x:tableParts count="1">
    <x:tablePart xmlns:r="http://schemas.openxmlformats.org/officeDocument/2006/relationships" r:id="R0dc156eae4244d5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</x:cols>
  <x:sheetData>
    <x:row r="1">
      <x:c r="A1" s="6" t="str">
        <x:v>County</x:v>
      </x:c>
      <x:c r="B1" s="6" t="str">
        <x:v>Rank</x:v>
      </x:c>
      <x:c r="C1" s="6" t="str">
        <x:v>Operator Name</x:v>
      </x:c>
      <x:c r="D1" s="6" t="str">
        <x:v>Oil (BBL)</x:v>
      </x:c>
      <x:c r="E1" s="6" t="str">
        <x:v>Gas (MCF)</x:v>
      </x:c>
      <x:c r="F1" s="6" t="str">
        <x:v>Condensate (BBL)</x:v>
      </x:c>
      <x:c r="G1" s="6" t="str">
        <x:v>Oil Share (%)</x:v>
      </x:c>
    </x:row>
    <x:row r="2">
      <x:c r="A2" t="str">
        <x:v>Midland</x:v>
      </x:c>
      <x:c r="B2" t="n">
        <x:v>1</x:v>
      </x:c>
      <x:c r="C2" t="str">
        <x:v>PIONEER NATURAL RES. USA, INC.</x:v>
      </x:c>
      <x:c r="D2" s="12" t="n">
        <x:v>461756167</x:v>
      </x:c>
      <x:c r="E2" s="12" t="n">
        <x:v>1573697233</x:v>
      </x:c>
      <x:c r="F2" s="12" t="n">
        <x:v>63571</x:v>
      </x:c>
      <x:c r="G2" s="18" t="n">
        <x:v>0.3347341717564115</x:v>
      </x:c>
    </x:row>
    <x:row r="3">
      <x:c r="A3" t="str">
        <x:v>Midland</x:v>
      </x:c>
      <x:c r="B3" t="n">
        <x:v>2</x:v>
      </x:c>
      <x:c r="C3" t="str">
        <x:v>ENDEAVOR ENERGY RESOURCES L.P.</x:v>
      </x:c>
      <x:c r="D3" s="12" t="n">
        <x:v>151813457</x:v>
      </x:c>
      <x:c r="E3" s="12" t="n">
        <x:v>437944654</x:v>
      </x:c>
      <x:c r="F3" s="12" t="n">
        <x:v>35429</x:v>
      </x:c>
      <x:c r="G3" s="18" t="n">
        <x:v>0.1100519179213747</x:v>
      </x:c>
    </x:row>
    <x:row r="4">
      <x:c r="A4" t="str">
        <x:v>Midland</x:v>
      </x:c>
      <x:c r="B4" t="n">
        <x:v>3</x:v>
      </x:c>
      <x:c r="C4" t="str">
        <x:v>XTO ENERGY INC.</x:v>
      </x:c>
      <x:c r="D4" s="12" t="n">
        <x:v>144255030</x:v>
      </x:c>
      <x:c r="E4" s="12" t="n">
        <x:v>698852985</x:v>
      </x:c>
      <x:c r="F4" s="12" t="n">
        <x:v>68304</x:v>
      </x:c>
      <x:c r="G4" s="18" t="n">
        <x:v>0.10457269753962223</x:v>
      </x:c>
    </x:row>
    <x:row r="5">
      <x:c r="A5" t="str">
        <x:v>Midland</x:v>
      </x:c>
      <x:c r="B5" t="n">
        <x:v>4</x:v>
      </x:c>
      <x:c r="C5" t="str">
        <x:v>CHEVRON U. S. A. INC.</x:v>
      </x:c>
      <x:c r="D5" s="12" t="n">
        <x:v>114741932</x:v>
      </x:c>
      <x:c r="E5" s="12" t="n">
        <x:v>359035478</x:v>
      </x:c>
      <x:c r="F5" s="12" t="n">
        <x:v>5096</x:v>
      </x:c>
      <x:c r="G5" s="18" t="n">
        <x:v>0.08317819732281018</x:v>
      </x:c>
    </x:row>
    <x:row r="6">
      <x:c r="A6" t="str">
        <x:v>Midland</x:v>
      </x:c>
      <x:c r="B6" t="n">
        <x:v>5</x:v>
      </x:c>
      <x:c r="C6" t="str">
        <x:v>DIAMONDBACK E&amp;P LLC</x:v>
      </x:c>
      <x:c r="D6" s="12" t="n">
        <x:v>111512115</x:v>
      </x:c>
      <x:c r="E6" s="12" t="n">
        <x:v>469461067</x:v>
      </x:c>
      <x:c r="F6" s="12" t="n">
        <x:v>4366</x:v>
      </x:c>
      <x:c r="G6" s="18" t="n">
        <x:v>0.0808368531336382</x:v>
      </x:c>
    </x:row>
    <x:row r="7">
      <x:c r="A7" t="str">
        <x:v>Midland</x:v>
      </x:c>
      <x:c r="B7" t="n">
        <x:v>6</x:v>
      </x:c>
      <x:c r="C7" t="str">
        <x:v>COG OPERATING LLC</x:v>
      </x:c>
      <x:c r="D7" s="12" t="n">
        <x:v>80378990</x:v>
      </x:c>
      <x:c r="E7" s="12" t="n">
        <x:v>270902918</x:v>
      </x:c>
      <x:c r="F7" s="12" t="n">
        <x:v>2705</x:v>
      </x:c>
      <x:c r="G7" s="18" t="n">
        <x:v>0.05826797034259616</x:v>
      </x:c>
    </x:row>
    <x:row r="8">
      <x:c r="A8" t="str">
        <x:v>Midland</x:v>
      </x:c>
      <x:c r="B8" t="n">
        <x:v>7</x:v>
      </x:c>
      <x:c r="C8" t="str">
        <x:v>APACHE CORPORATION</x:v>
      </x:c>
      <x:c r="D8" s="12" t="n">
        <x:v>59634834</x:v>
      </x:c>
      <x:c r="E8" s="12" t="n">
        <x:v>186858394</x:v>
      </x:c>
      <x:c r="F8" s="12" t="n">
        <x:v>30920</x:v>
      </x:c>
      <x:c r="G8" s="18" t="n">
        <x:v>0.043230211512954385</x:v>
      </x:c>
    </x:row>
    <x:row r="9">
      <x:c r="A9" t="str">
        <x:v>Midland</x:v>
      </x:c>
      <x:c r="B9" t="n">
        <x:v>8</x:v>
      </x:c>
      <x:c r="C9" t="str">
        <x:v>OVINTIV USA INC.</x:v>
      </x:c>
      <x:c r="D9" s="12" t="n">
        <x:v>45012707</x:v>
      </x:c>
      <x:c r="E9" s="12" t="n">
        <x:v>235748375</x:v>
      </x:c>
      <x:c r="F9" s="12" t="n">
        <x:v>6388</x:v>
      </x:c>
      <x:c r="G9" s="18" t="n">
        <x:v>0.032630405986887503</x:v>
      </x:c>
    </x:row>
    <x:row r="10">
      <x:c r="A10" t="str">
        <x:v>Midland</x:v>
      </x:c>
      <x:c r="B10" t="n">
        <x:v>9</x:v>
      </x:c>
      <x:c r="C10" t="str">
        <x:v>CROWNQUEST OPERATING, LLC</x:v>
      </x:c>
      <x:c r="D10" s="12" t="n">
        <x:v>36465637</x:v>
      </x:c>
      <x:c r="E10" s="12" t="n">
        <x:v>139906375</x:v>
      </x:c>
      <x:c r="F10" s="12" t="n">
        <x:v>6696</x:v>
      </x:c>
      <x:c r="G10" s="18" t="n">
        <x:v>0.0264345030366751</x:v>
      </x:c>
    </x:row>
    <x:row r="11">
      <x:c r="A11" t="str">
        <x:v>Midland</x:v>
      </x:c>
      <x:c r="B11" t="n">
        <x:v>10</x:v>
      </x:c>
      <x:c r="C11" t="str">
        <x:v>PERMIAN DEEP ROCK OIL CO., LLC</x:v>
      </x:c>
      <x:c r="D11" s="12" t="n">
        <x:v>32774650</x:v>
      </x:c>
      <x:c r="E11" s="12" t="n">
        <x:v>70023183</x:v>
      </x:c>
      <x:c r="F11" s="12" t="n">
        <x:v>0</x:v>
      </x:c>
      <x:c r="G11" s="18" t="n">
        <x:v>0.023758849597251337</x:v>
      </x:c>
    </x:row>
    <x:row r="12">
      <x:c r="A12" t="str">
        <x:v>Martin</x:v>
      </x:c>
      <x:c r="B12" t="n">
        <x:v>1</x:v>
      </x:c>
      <x:c r="C12" t="str">
        <x:v>DIAMONDBACK E&amp;P LLC</x:v>
      </x:c>
      <x:c r="D12" s="12" t="n">
        <x:v>370960754</x:v>
      </x:c>
      <x:c r="E12" s="12" t="n">
        <x:v>922098212</x:v>
      </x:c>
      <x:c r="F12" s="12" t="n">
        <x:v>0</x:v>
      </x:c>
      <x:c r="G12" s="18" t="n">
        <x:v>0.2859483527603841</x:v>
      </x:c>
    </x:row>
    <x:row r="13">
      <x:c r="A13" t="str">
        <x:v>Martin</x:v>
      </x:c>
      <x:c r="B13" t="n">
        <x:v>2</x:v>
      </x:c>
      <x:c r="C13" t="str">
        <x:v>PIONEER NATURAL RES. USA, INC.</x:v>
      </x:c>
      <x:c r="D13" s="12" t="n">
        <x:v>252522475</x:v>
      </x:c>
      <x:c r="E13" s="12" t="n">
        <x:v>575879247</x:v>
      </x:c>
      <x:c r="F13" s="12" t="n">
        <x:v>0</x:v>
      </x:c>
      <x:c r="G13" s="18" t="n">
        <x:v>0.19465235872694303</x:v>
      </x:c>
    </x:row>
    <x:row r="14">
      <x:c r="A14" t="str">
        <x:v>Martin</x:v>
      </x:c>
      <x:c r="B14" t="n">
        <x:v>3</x:v>
      </x:c>
      <x:c r="C14" t="str">
        <x:v>ENDEAVOR ENERGY RESOURCES L.P.</x:v>
      </x:c>
      <x:c r="D14" s="12" t="n">
        <x:v>122061636</x:v>
      </x:c>
      <x:c r="E14" s="12" t="n">
        <x:v>294678846</x:v>
      </x:c>
      <x:c r="F14" s="12" t="n">
        <x:v>301</x:v>
      </x:c>
      <x:c r="G14" s="18" t="n">
        <x:v>0.09408899290041232</x:v>
      </x:c>
    </x:row>
    <x:row r="15">
      <x:c r="A15" t="str">
        <x:v>Martin</x:v>
      </x:c>
      <x:c r="B15" t="n">
        <x:v>4</x:v>
      </x:c>
      <x:c r="C15" t="str">
        <x:v>OVINTIV USA INC.</x:v>
      </x:c>
      <x:c r="D15" s="12" t="n">
        <x:v>93679011</x:v>
      </x:c>
      <x:c r="E15" s="12" t="n">
        <x:v>263253632</x:v>
      </x:c>
      <x:c r="F15" s="12" t="n">
        <x:v>0</x:v>
      </x:c>
      <x:c r="G15" s="18" t="n">
        <x:v>0.07221076244543083</x:v>
      </x:c>
    </x:row>
    <x:row r="16">
      <x:c r="A16" t="str">
        <x:v>Martin</x:v>
      </x:c>
      <x:c r="B16" t="n">
        <x:v>5</x:v>
      </x:c>
      <x:c r="C16" t="str">
        <x:v>XTO ENERGY INC.</x:v>
      </x:c>
      <x:c r="D16" s="12" t="n">
        <x:v>90302576</x:v>
      </x:c>
      <x:c r="E16" s="12" t="n">
        <x:v>311822207</x:v>
      </x:c>
      <x:c r="F16" s="12" t="n">
        <x:v>0</x:v>
      </x:c>
      <x:c r="G16" s="18" t="n">
        <x:v>0.06960809891285534</x:v>
      </x:c>
    </x:row>
    <x:row r="17">
      <x:c r="A17" t="str">
        <x:v>Martin</x:v>
      </x:c>
      <x:c r="B17" t="n">
        <x:v>6</x:v>
      </x:c>
      <x:c r="C17" t="str">
        <x:v>COG OPERATING LLC</x:v>
      </x:c>
      <x:c r="D17" s="12" t="n">
        <x:v>44042125</x:v>
      </x:c>
      <x:c r="E17" s="12" t="n">
        <x:v>80698336</x:v>
      </x:c>
      <x:c r="F17" s="12" t="n">
        <x:v>0</x:v>
      </x:c>
      <x:c r="G17" s="18" t="n">
        <x:v>0.033949071323639085</x:v>
      </x:c>
    </x:row>
    <x:row r="18">
      <x:c r="A18" t="str">
        <x:v>Martin</x:v>
      </x:c>
      <x:c r="B18" t="n">
        <x:v>7</x:v>
      </x:c>
      <x:c r="C18" t="str">
        <x:v>SM ENERGY COMPANY</x:v>
      </x:c>
      <x:c r="D18" s="12" t="n">
        <x:v>41527038</x:v>
      </x:c>
      <x:c r="E18" s="12" t="n">
        <x:v>106521266</x:v>
      </x:c>
      <x:c r="F18" s="12" t="n">
        <x:v>0</x:v>
      </x:c>
      <x:c r="G18" s="18" t="n">
        <x:v>0.03201036223664209</x:v>
      </x:c>
    </x:row>
    <x:row r="19">
      <x:c r="A19" t="str">
        <x:v>Martin</x:v>
      </x:c>
      <x:c r="B19" t="n">
        <x:v>8</x:v>
      </x:c>
      <x:c r="C19" t="str">
        <x:v>BIRCH OPERATIONS, INC.</x:v>
      </x:c>
      <x:c r="D19" s="12" t="n">
        <x:v>35225124</x:v>
      </x:c>
      <x:c r="E19" s="12" t="n">
        <x:v>120148799</x:v>
      </x:c>
      <x:c r="F19" s="12" t="n">
        <x:v>0</x:v>
      </x:c>
      <x:c r="G19" s="18" t="n">
        <x:v>0.027152646405232055</x:v>
      </x:c>
    </x:row>
    <x:row r="20">
      <x:c r="A20" t="str">
        <x:v>Martin</x:v>
      </x:c>
      <x:c r="B20" t="n">
        <x:v>9</x:v>
      </x:c>
      <x:c r="C20" t="str">
        <x:v>OCCIDENTAL PERMIAN LTD.</x:v>
      </x:c>
      <x:c r="D20" s="12" t="n">
        <x:v>32453532</x:v>
      </x:c>
      <x:c r="E20" s="12" t="n">
        <x:v>100165306</x:v>
      </x:c>
      <x:c r="F20" s="12" t="n">
        <x:v>1262789</x:v>
      </x:c>
      <x:c r="G20" s="18" t="n">
        <x:v>0.025016215102518405</x:v>
      </x:c>
    </x:row>
    <x:row r="21">
      <x:c r="A21" t="str">
        <x:v>Martin</x:v>
      </x:c>
      <x:c r="B21" t="n">
        <x:v>10</x:v>
      </x:c>
      <x:c r="C21" t="str">
        <x:v>CROWNQUEST OPERATING, LLC</x:v>
      </x:c>
      <x:c r="D21" s="12" t="n">
        <x:v>30896801</x:v>
      </x:c>
      <x:c r="E21" s="12" t="n">
        <x:v>100234531</x:v>
      </x:c>
      <x:c r="F21" s="12" t="n">
        <x:v>0</x:v>
      </x:c>
      <x:c r="G21" s="18" t="n">
        <x:v>0.023816237314191434</x:v>
      </x:c>
    </x:row>
    <x:row r="22">
      <x:c r="A22" t="str">
        <x:v>Howard</x:v>
      </x:c>
      <x:c r="B22" t="n">
        <x:v>1</x:v>
      </x:c>
      <x:c r="C22" t="str">
        <x:v>SM ENERGY COMPANY</x:v>
      </x:c>
      <x:c r="D22" s="12" t="n">
        <x:v>100728527</x:v>
      </x:c>
      <x:c r="E22" s="12" t="n">
        <x:v>323288757</x:v>
      </x:c>
      <x:c r="F22" s="12" t="n">
        <x:v>2400</x:v>
      </x:c>
      <x:c r="G22" s="18" t="n">
        <x:v>0.14149843717867214</x:v>
      </x:c>
    </x:row>
    <x:row r="23">
      <x:c r="A23" t="str">
        <x:v>Howard</x:v>
      </x:c>
      <x:c r="B23" t="n">
        <x:v>2</x:v>
      </x:c>
      <x:c r="C23" t="str">
        <x:v>SURGE OPERATING, LLC</x:v>
      </x:c>
      <x:c r="D23" s="12" t="n">
        <x:v>85866772</x:v>
      </x:c>
      <x:c r="E23" s="12" t="n">
        <x:v>272535646</x:v>
      </x:c>
      <x:c r="F23" s="12" t="n">
        <x:v>0</x:v>
      </x:c>
      <x:c r="G23" s="18" t="n">
        <x:v>0.12062138110663886</x:v>
      </x:c>
    </x:row>
    <x:row r="24">
      <x:c r="A24" t="str">
        <x:v>Howard</x:v>
      </x:c>
      <x:c r="B24" t="n">
        <x:v>3</x:v>
      </x:c>
      <x:c r="C24" t="str">
        <x:v>BIRCH OPERATIONS, INC.</x:v>
      </x:c>
      <x:c r="D24" s="12" t="n">
        <x:v>64075401</x:v>
      </x:c>
      <x:c r="E24" s="12" t="n">
        <x:v>258622387</x:v>
      </x:c>
      <x:c r="F24" s="12" t="n">
        <x:v>0</x:v>
      </x:c>
      <x:c r="G24" s="18" t="n">
        <x:v>0.0900099442841721</x:v>
      </x:c>
    </x:row>
    <x:row r="25">
      <x:c r="A25" t="str">
        <x:v>Howard</x:v>
      </x:c>
      <x:c r="B25" t="n">
        <x:v>4</x:v>
      </x:c>
      <x:c r="C25" t="str">
        <x:v>HIGHPEAK ENERGY HOLDINGS, LLC</x:v>
      </x:c>
      <x:c r="D25" s="12" t="n">
        <x:v>59022499</x:v>
      </x:c>
      <x:c r="E25" s="12" t="n">
        <x:v>94406192</x:v>
      </x:c>
      <x:c r="F25" s="12" t="n">
        <x:v>2189</x:v>
      </x:c>
      <x:c r="G25" s="18" t="n">
        <x:v>0.08291187824954234</x:v>
      </x:c>
    </x:row>
    <x:row r="26">
      <x:c r="A26" t="str">
        <x:v>Howard</x:v>
      </x:c>
      <x:c r="B26" t="n">
        <x:v>5</x:v>
      </x:c>
      <x:c r="C26" t="str">
        <x:v>OVINTIV USA INC.</x:v>
      </x:c>
      <x:c r="D26" s="12" t="n">
        <x:v>58785297</x:v>
      </x:c>
      <x:c r="E26" s="12" t="n">
        <x:v>141817014</x:v>
      </x:c>
      <x:c r="F26" s="12" t="n">
        <x:v>0</x:v>
      </x:c>
      <x:c r="G26" s="18" t="n">
        <x:v>0.082578668648496</x:v>
      </x:c>
    </x:row>
    <x:row r="27">
      <x:c r="A27" t="str">
        <x:v>Howard</x:v>
      </x:c>
      <x:c r="B27" t="n">
        <x:v>6</x:v>
      </x:c>
      <x:c r="C27" t="str">
        <x:v>CROWNQUEST OPERATING, LLC</x:v>
      </x:c>
      <x:c r="D27" s="12" t="n">
        <x:v>51094583</x:v>
      </x:c>
      <x:c r="E27" s="12" t="n">
        <x:v>157695955</x:v>
      </x:c>
      <x:c r="F27" s="12" t="n">
        <x:v>0</x:v>
      </x:c>
      <x:c r="G27" s="18" t="n">
        <x:v>0.07177513518882242</x:v>
      </x:c>
    </x:row>
    <x:row r="28">
      <x:c r="A28" t="str">
        <x:v>Howard</x:v>
      </x:c>
      <x:c r="B28" t="n">
        <x:v>7</x:v>
      </x:c>
      <x:c r="C28" t="str">
        <x:v>DIAMONDBACK E&amp;P LLC</x:v>
      </x:c>
      <x:c r="D28" s="12" t="n">
        <x:v>37332019</x:v>
      </x:c>
      <x:c r="E28" s="12" t="n">
        <x:v>155094807</x:v>
      </x:c>
      <x:c r="F28" s="12" t="n">
        <x:v>0</x:v>
      </x:c>
      <x:c r="G28" s="18" t="n">
        <x:v>0.052442168098263714</x:v>
      </x:c>
    </x:row>
    <x:row r="29">
      <x:c r="A29" t="str">
        <x:v>Howard</x:v>
      </x:c>
      <x:c r="B29" t="n">
        <x:v>8</x:v>
      </x:c>
      <x:c r="C29" t="str">
        <x:v>OXY USA INC.</x:v>
      </x:c>
      <x:c r="D29" s="12" t="n">
        <x:v>36956475</x:v>
      </x:c>
      <x:c r="E29" s="12" t="n">
        <x:v>92676837</x:v>
      </x:c>
      <x:c r="F29" s="12" t="n">
        <x:v>0</x:v>
      </x:c>
      <x:c r="G29" s="18" t="n">
        <x:v>0.051914622519325306</x:v>
      </x:c>
    </x:row>
    <x:row r="30">
      <x:c r="A30" t="str">
        <x:v>Howard</x:v>
      </x:c>
      <x:c r="B30" t="n">
        <x:v>9</x:v>
      </x:c>
      <x:c r="C30" t="str">
        <x:v>VITAL ENERGY, INC.</x:v>
      </x:c>
      <x:c r="D30" s="12" t="n">
        <x:v>33430388</x:v>
      </x:c>
      <x:c r="E30" s="12" t="n">
        <x:v>94388283</x:v>
      </x:c>
      <x:c r="F30" s="12" t="n">
        <x:v>0</x:v>
      </x:c>
      <x:c r="G30" s="18" t="n">
        <x:v>0.04696135044520838</x:v>
      </x:c>
    </x:row>
    <x:row r="31">
      <x:c r="A31" t="str">
        <x:v>Howard</x:v>
      </x:c>
      <x:c r="B31" t="n">
        <x:v>10</x:v>
      </x:c>
      <x:c r="C31" t="str">
        <x:v>CALLON PETROLEUM OPERATING CO</x:v>
      </x:c>
      <x:c r="D31" s="12" t="n">
        <x:v>24002621</x:v>
      </x:c>
      <x:c r="E31" s="12" t="n">
        <x:v>54326071</x:v>
      </x:c>
      <x:c r="F31" s="12" t="n">
        <x:v>0</x:v>
      </x:c>
      <x:c r="G31" s="18" t="n">
        <x:v>0.03371769111338217</x:v>
      </x:c>
    </x:row>
    <x:row r="32">
      <x:c r="A32" t="str">
        <x:v>Reeves</x:v>
      </x:c>
      <x:c r="B32" t="n">
        <x:v>1</x:v>
      </x:c>
      <x:c r="C32" t="str">
        <x:v>NOBLE ENERGY INC</x:v>
      </x:c>
      <x:c r="D32" s="12" t="n">
        <x:v>67499503</x:v>
      </x:c>
      <x:c r="E32" s="12" t="n">
        <x:v>192582220</x:v>
      </x:c>
      <x:c r="F32" s="12" t="n">
        <x:v>101614</x:v>
      </x:c>
      <x:c r="G32" s="18" t="n">
        <x:v>0.13267816530157814</x:v>
      </x:c>
    </x:row>
    <x:row r="33">
      <x:c r="A33" t="str">
        <x:v>Reeves</x:v>
      </x:c>
      <x:c r="B33" t="n">
        <x:v>2</x:v>
      </x:c>
      <x:c r="C33" t="str">
        <x:v>PERMIAN RESOURCES OPERATING, LLC</x:v>
      </x:c>
      <x:c r="D33" s="12" t="n">
        <x:v>54119177</x:v>
      </x:c>
      <x:c r="E33" s="12" t="n">
        <x:v>356280670</x:v>
      </x:c>
      <x:c r="F33" s="12" t="n">
        <x:v>21191409</x:v>
      </x:c>
      <x:c r="G33" s="18" t="n">
        <x:v>0.10637757009842526</x:v>
      </x:c>
    </x:row>
    <x:row r="34">
      <x:c r="A34" t="str">
        <x:v>Reeves</x:v>
      </x:c>
      <x:c r="B34" t="n">
        <x:v>3</x:v>
      </x:c>
      <x:c r="C34" t="str">
        <x:v>DIAMONDBACK E&amp;P LLC</x:v>
      </x:c>
      <x:c r="D34" s="12" t="n">
        <x:v>46243501</x:v>
      </x:c>
      <x:c r="E34" s="12" t="n">
        <x:v>220285861</x:v>
      </x:c>
      <x:c r="F34" s="12" t="n">
        <x:v>4056372</x:v>
      </x:c>
      <x:c r="G34" s="18" t="n">
        <x:v>0.09089700808318091</x:v>
      </x:c>
    </x:row>
    <x:row r="35">
      <x:c r="A35" t="str">
        <x:v>Reeves</x:v>
      </x:c>
      <x:c r="B35" t="n">
        <x:v>4</x:v>
      </x:c>
      <x:c r="C35" t="str">
        <x:v>CHEVRON U. S. A. INC.</x:v>
      </x:c>
      <x:c r="D35" s="12" t="n">
        <x:v>38027236</x:v>
      </x:c>
      <x:c r="E35" s="12" t="n">
        <x:v>100133577</x:v>
      </x:c>
      <x:c r="F35" s="12" t="n">
        <x:v>27335</x:v>
      </x:c>
      <x:c r="G35" s="18" t="n">
        <x:v>0.07474697856619957</x:v>
      </x:c>
    </x:row>
    <x:row r="36">
      <x:c r="A36" t="str">
        <x:v>Reeves</x:v>
      </x:c>
      <x:c r="B36" t="n">
        <x:v>5</x:v>
      </x:c>
      <x:c r="C36" t="str">
        <x:v>OXY USA WTP LP</x:v>
      </x:c>
      <x:c r="D36" s="12" t="n">
        <x:v>36500675</x:v>
      </x:c>
      <x:c r="E36" s="12" t="n">
        <x:v>82182342</x:v>
      </x:c>
      <x:c r="F36" s="12" t="n">
        <x:v>114975</x:v>
      </x:c>
      <x:c r="G36" s="18" t="n">
        <x:v>0.07174634443262762</x:v>
      </x:c>
    </x:row>
    <x:row r="37">
      <x:c r="A37" t="str">
        <x:v>Reeves</x:v>
      </x:c>
      <x:c r="B37" t="n">
        <x:v>6</x:v>
      </x:c>
      <x:c r="C37" t="str">
        <x:v>COG OPERATING LLC</x:v>
      </x:c>
      <x:c r="D37" s="12" t="n">
        <x:v>33296911</x:v>
      </x:c>
      <x:c r="E37" s="12" t="n">
        <x:v>114597762</x:v>
      </x:c>
      <x:c r="F37" s="12" t="n">
        <x:v>1881960</x:v>
      </x:c>
      <x:c r="G37" s="18" t="n">
        <x:v>0.06544897170116847</x:v>
      </x:c>
    </x:row>
    <x:row r="38">
      <x:c r="A38" t="str">
        <x:v>Reeves</x:v>
      </x:c>
      <x:c r="B38" t="n">
        <x:v>7</x:v>
      </x:c>
      <x:c r="C38" t="str">
        <x:v>VTX ENERGY OPERATING, LLC</x:v>
      </x:c>
      <x:c r="D38" s="12" t="n">
        <x:v>32352334</x:v>
      </x:c>
      <x:c r="E38" s="12" t="n">
        <x:v>64742874</x:v>
      </x:c>
      <x:c r="F38" s="12" t="n">
        <x:v>284283</x:v>
      </x:c>
      <x:c r="G38" s="18" t="n">
        <x:v>0.06359229516614169</x:v>
      </x:c>
    </x:row>
    <x:row r="39">
      <x:c r="A39" t="str">
        <x:v>Reeves</x:v>
      </x:c>
      <x:c r="B39" t="n">
        <x:v>8</x:v>
      </x:c>
      <x:c r="C39" t="str">
        <x:v>PRI OPERATING, LLC</x:v>
      </x:c>
      <x:c r="D39" s="12" t="n">
        <x:v>22857292</x:v>
      </x:c>
      <x:c r="E39" s="12" t="n">
        <x:v>39877475</x:v>
      </x:c>
      <x:c r="F39" s="12" t="n">
        <x:v>0</x:v>
      </x:c>
      <x:c r="G39" s="18" t="n">
        <x:v>0.04492867993890917</x:v>
      </x:c>
    </x:row>
    <x:row r="40">
      <x:c r="A40" t="str">
        <x:v>Reeves</x:v>
      </x:c>
      <x:c r="B40" t="n">
        <x:v>9</x:v>
      </x:c>
      <x:c r="C40" t="str">
        <x:v>CENTENNIAL RESOURCE PROD, LLC</x:v>
      </x:c>
      <x:c r="D40" s="12" t="n">
        <x:v>21383511</x:v>
      </x:c>
      <x:c r="E40" s="12" t="n">
        <x:v>160764589</x:v>
      </x:c>
      <x:c r="F40" s="12" t="n">
        <x:v>8050433</x:v>
      </x:c>
      <x:c r="G40" s="18" t="n">
        <x:v>0.042031791066463334</x:v>
      </x:c>
    </x:row>
    <x:row r="41">
      <x:c r="A41" t="str">
        <x:v>Reeves</x:v>
      </x:c>
      <x:c r="B41" t="n">
        <x:v>10</x:v>
      </x:c>
      <x:c r="C41" t="str">
        <x:v>VITAL ENERGY, INC.</x:v>
      </x:c>
      <x:c r="D41" s="12" t="n">
        <x:v>17104120</x:v>
      </x:c>
      <x:c r="E41" s="12" t="n">
        <x:v>72084358</x:v>
      </x:c>
      <x:c r="F41" s="12" t="n">
        <x:v>1233825</x:v>
      </x:c>
      <x:c r="G41" s="18" t="n">
        <x:v>0.033620147702391655</x:v>
      </x:c>
    </x:row>
    <x:row r="42">
      <x:c r="A42" t="str">
        <x:v>Loving</x:v>
      </x:c>
      <x:c r="B42" t="n">
        <x:v>1</x:v>
      </x:c>
      <x:c r="C42" t="str">
        <x:v>ANADARKO E&amp;P ONSHORE LLC</x:v>
      </x:c>
      <x:c r="D42" s="12" t="n">
        <x:v>223346263</x:v>
      </x:c>
      <x:c r="E42" s="12" t="n">
        <x:v>866160112</x:v>
      </x:c>
      <x:c r="F42" s="12" t="n">
        <x:v>84700897</x:v>
      </x:c>
      <x:c r="G42" s="18" t="n">
        <x:v>0.3713728886258332</x:v>
      </x:c>
    </x:row>
    <x:row r="43">
      <x:c r="A43" t="str">
        <x:v>Loving</x:v>
      </x:c>
      <x:c r="B43" t="n">
        <x:v>2</x:v>
      </x:c>
      <x:c r="C43" t="str">
        <x:v>PDEH LLC</x:v>
      </x:c>
      <x:c r="D43" s="12" t="n">
        <x:v>94906225</x:v>
      </x:c>
      <x:c r="E43" s="12" t="n">
        <x:v>257980961</x:v>
      </x:c>
      <x:c r="F43" s="12" t="n">
        <x:v>8272934</x:v>
      </x:c>
      <x:c r="G43" s="18" t="n">
        <x:v>0.15780697851579126</x:v>
      </x:c>
    </x:row>
    <x:row r="44">
      <x:c r="A44" t="str">
        <x:v>Loving</x:v>
      </x:c>
      <x:c r="B44" t="n">
        <x:v>3</x:v>
      </x:c>
      <x:c r="C44" t="str">
        <x:v>EOG RESOURCES, INC.</x:v>
      </x:c>
      <x:c r="D44" s="12" t="n">
        <x:v>54780690</x:v>
      </x:c>
      <x:c r="E44" s="12" t="n">
        <x:v>463248003</x:v>
      </x:c>
      <x:c r="F44" s="12" t="n">
        <x:v>61207132</x:v>
      </x:c>
      <x:c r="G44" s="18" t="n">
        <x:v>0.09108754636389996</x:v>
      </x:c>
    </x:row>
    <x:row r="45">
      <x:c r="A45" t="str">
        <x:v>Loving</x:v>
      </x:c>
      <x:c r="B45" t="n">
        <x:v>4</x:v>
      </x:c>
      <x:c r="C45" t="str">
        <x:v>XTO ENERGY INC.</x:v>
      </x:c>
      <x:c r="D45" s="12" t="n">
        <x:v>49936639</x:v>
      </x:c>
      <x:c r="E45" s="12" t="n">
        <x:v>130576980</x:v>
      </x:c>
      <x:c r="F45" s="12" t="n">
        <x:v>0</x:v>
      </x:c>
      <x:c r="G45" s="18" t="n">
        <x:v>0.08303301619913576</x:v>
      </x:c>
    </x:row>
    <x:row r="46">
      <x:c r="A46" t="str">
        <x:v>Loving</x:v>
      </x:c>
      <x:c r="B46" t="n">
        <x:v>5</x:v>
      </x:c>
      <x:c r="C46" t="str">
        <x:v>COG OPERATING LLC</x:v>
      </x:c>
      <x:c r="D46" s="12" t="n">
        <x:v>45289852</x:v>
      </x:c>
      <x:c r="E46" s="12" t="n">
        <x:v>102009338</x:v>
      </x:c>
      <x:c r="F46" s="12" t="n">
        <x:v>6584572</x:v>
      </x:c>
      <x:c r="G46" s="18" t="n">
        <x:v>0.07530649018594265</x:v>
      </x:c>
    </x:row>
    <x:row r="47">
      <x:c r="A47" t="str">
        <x:v>Loving</x:v>
      </x:c>
      <x:c r="B47" t="n">
        <x:v>6</x:v>
      </x:c>
      <x:c r="C47" t="str">
        <x:v>SHELL WESTERN E&amp;P</x:v>
      </x:c>
      <x:c r="D47" s="12" t="n">
        <x:v>33606376</x:v>
      </x:c>
      <x:c r="E47" s="12" t="n">
        <x:v>94778768</x:v>
      </x:c>
      <x:c r="F47" s="12" t="n">
        <x:v>6736835</x:v>
      </x:c>
      <x:c r="G47" s="18" t="n">
        <x:v>0.05587958698626569</x:v>
      </x:c>
    </x:row>
    <x:row r="48">
      <x:c r="A48" t="str">
        <x:v>Loving</x:v>
      </x:c>
      <x:c r="B48" t="n">
        <x:v>7</x:v>
      </x:c>
      <x:c r="C48" t="str">
        <x:v>WPX ENERGY PERMIAN, LLC</x:v>
      </x:c>
      <x:c r="D48" s="12" t="n">
        <x:v>25739996</x:v>
      </x:c>
      <x:c r="E48" s="12" t="n">
        <x:v>776302305</x:v>
      </x:c>
      <x:c r="F48" s="12" t="n">
        <x:v>115145121</x:v>
      </x:c>
      <x:c r="G48" s="18" t="n">
        <x:v>0.04279962663954396</x:v>
      </x:c>
    </x:row>
    <x:row r="49">
      <x:c r="A49" t="str">
        <x:v>Loving</x:v>
      </x:c>
      <x:c r="B49" t="n">
        <x:v>8</x:v>
      </x:c>
      <x:c r="C49" t="str">
        <x:v>MATADOR PRODUCTION COMPANY</x:v>
      </x:c>
      <x:c r="D49" s="12" t="n">
        <x:v>17348960</x:v>
      </x:c>
      <x:c r="E49" s="12" t="n">
        <x:v>104217027</x:v>
      </x:c>
      <x:c r="F49" s="12" t="n">
        <x:v>786</x:v>
      </x:c>
      <x:c r="G49" s="18" t="n">
        <x:v>0.028847285391356805</x:v>
      </x:c>
    </x:row>
    <x:row r="50">
      <x:c r="A50" t="str">
        <x:v>Loving</x:v>
      </x:c>
      <x:c r="B50" t="n">
        <x:v>9</x:v>
      </x:c>
      <x:c r="C50" t="str">
        <x:v>CIVITAS PERMIAN OPERATING, LLC</x:v>
      </x:c>
      <x:c r="D50" s="12" t="n">
        <x:v>9549388</x:v>
      </x:c>
      <x:c r="E50" s="12" t="n">
        <x:v>27280979</x:v>
      </x:c>
      <x:c r="F50" s="12" t="n">
        <x:v>614291</x:v>
      </x:c>
      <x:c r="G50" s="18" t="n">
        <x:v>0.015878411210170407</x:v>
      </x:c>
    </x:row>
    <x:row r="51">
      <x:c r="A51" t="str">
        <x:v>Loving</x:v>
      </x:c>
      <x:c r="B51" t="n">
        <x:v>10</x:v>
      </x:c>
      <x:c r="C51" t="str">
        <x:v>CIRCLE-S ENERGY, LLC</x:v>
      </x:c>
      <x:c r="D51" s="12" t="n">
        <x:v>6215741</x:v>
      </x:c>
      <x:c r="E51" s="12" t="n">
        <x:v>13792993</x:v>
      </x:c>
      <x:c r="F51" s="12" t="n">
        <x:v>0</x:v>
      </x:c>
      <x:c r="G51" s="18" t="n">
        <x:v>0.010335331601765035</x:v>
      </x:c>
    </x:row>
  </x:sheetData>
  <x:pageMargins left="0.7" right="0.7" top="0.75" bottom="0.75" header="0.3" footer="0.3"/>
  <x:tableParts count="1">
    <x:tablePart xmlns:r="http://schemas.openxmlformats.org/officeDocument/2006/relationships" r:id="Ra2f86e68e96343f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</x:cols>
  <x:sheetData>
    <x:row r="1">
      <x:c r="A1" s="6" t="str">
        <x:v>County</x:v>
      </x:c>
      <x:c r="B1" s="6" t="str">
        <x:v>Rank</x:v>
      </x:c>
      <x:c r="C1" s="6" t="str">
        <x:v>Field Name</x:v>
      </x:c>
      <x:c r="D1" s="6" t="str">
        <x:v>Oil (BBL)</x:v>
      </x:c>
      <x:c r="E1" s="6" t="str">
        <x:v>Gas (MCF)</x:v>
      </x:c>
      <x:c r="F1" s="6" t="str">
        <x:v>Condensate (BBL)</x:v>
      </x:c>
      <x:c r="G1" s="6" t="str">
        <x:v>Oil Share (%)</x:v>
      </x:c>
    </x:row>
    <x:row r="2">
      <x:c r="A2" t="str">
        <x:v>Midland</x:v>
      </x:c>
      <x:c r="B2" t="n">
        <x:v>1</x:v>
      </x:c>
      <x:c r="C2" t="str">
        <x:v>SPRABERRY (TREND AREA)</x:v>
      </x:c>
      <x:c r="D2" s="12" t="n">
        <x:v>1119241146</x:v>
      </x:c>
      <x:c r="E2" s="12" t="n">
        <x:v>3628915534</x:v>
      </x:c>
      <x:c r="F2" s="12" t="n">
        <x:v>8176</x:v>
      </x:c>
      <x:c r="G2" s="18" t="n">
        <x:v>0.8113551800208156</x:v>
      </x:c>
    </x:row>
    <x:row r="3">
      <x:c r="A3" t="str">
        <x:v>Midland</x:v>
      </x:c>
      <x:c r="B3" t="n">
        <x:v>2</x:v>
      </x:c>
      <x:c r="C3" t="str">
        <x:v>SPRABERRY (TREND AREA) R 40 EXC</x:v>
      </x:c>
      <x:c r="D3" s="12" t="n">
        <x:v>129676142</x:v>
      </x:c>
      <x:c r="E3" s="12" t="n">
        <x:v>787274092</x:v>
      </x:c>
      <x:c r="F3" s="12" t="n">
        <x:v>2046</x:v>
      </x:c>
      <x:c r="G3" s="18" t="n">
        <x:v>0.09400423663196426</x:v>
      </x:c>
    </x:row>
    <x:row r="4">
      <x:c r="A4" t="str">
        <x:v>Midland</x:v>
      </x:c>
      <x:c r="B4" t="n">
        <x:v>3</x:v>
      </x:c>
      <x:c r="C4" t="str">
        <x:v>PARKS (CONSOLIDATED)</x:v>
      </x:c>
      <x:c r="D4" s="12" t="n">
        <x:v>108221412</x:v>
      </x:c>
      <x:c r="E4" s="12" t="n">
        <x:v>294759617</x:v>
      </x:c>
      <x:c r="F4" s="12" t="n">
        <x:v>70476</x:v>
      </x:c>
      <x:c r="G4" s="18" t="n">
        <x:v>0.07845137174341058</x:v>
      </x:c>
    </x:row>
    <x:row r="5">
      <x:c r="A5" t="str">
        <x:v>Midland</x:v>
      </x:c>
      <x:c r="B5" t="n">
        <x:v>4</x:v>
      </x:c>
      <x:c r="C5" t="str">
        <x:v>PEGASUS (CONSOLIDATED)</x:v>
      </x:c>
      <x:c r="D5" s="12" t="n">
        <x:v>14920092</x:v>
      </x:c>
      <x:c r="E5" s="12" t="n">
        <x:v>87644426</x:v>
      </x:c>
      <x:c r="F5" s="12" t="n">
        <x:v>2255</x:v>
      </x:c>
      <x:c r="G5" s="18" t="n">
        <x:v>0.010815804953070525</x:v>
      </x:c>
    </x:row>
    <x:row r="6">
      <x:c r="A6" t="str">
        <x:v>Midland</x:v>
      </x:c>
      <x:c r="B6" t="n">
        <x:v>5</x:v>
      </x:c>
      <x:c r="C6" t="str">
        <x:v>EMMA (BARNETT SHALE)</x:v>
      </x:c>
      <x:c r="D6" s="12" t="n">
        <x:v>1562968</x:v>
      </x:c>
      <x:c r="E6" s="12" t="n">
        <x:v>11774484</x:v>
      </x:c>
      <x:c r="F6" s="12" t="n">
        <x:v>903748</x:v>
      </x:c>
      <x:c r="G6" s="18" t="n">
        <x:v>0.0011330196245365467</x:v>
      </x:c>
    </x:row>
    <x:row r="7">
      <x:c r="A7" t="str">
        <x:v>Martin</x:v>
      </x:c>
      <x:c r="B7" t="n">
        <x:v>1</x:v>
      </x:c>
      <x:c r="C7" t="str">
        <x:v>SPRABERRY (TREND AREA)</x:v>
      </x:c>
      <x:c r="D7" s="12" t="n">
        <x:v>1254792046</x:v>
      </x:c>
      <x:c r="E7" s="12" t="n">
        <x:v>3099574753</x:v>
      </x:c>
      <x:c r="F7" s="12" t="n">
        <x:v>0</x:v>
      </x:c>
      <x:c r="G7" s="18" t="n">
        <x:v>0.9672336352069527</x:v>
      </x:c>
    </x:row>
    <x:row r="8">
      <x:c r="A8" t="str">
        <x:v>Martin</x:v>
      </x:c>
      <x:c r="B8" t="n">
        <x:v>2</x:v>
      </x:c>
      <x:c r="C8" t="str">
        <x:v>SPRABERRY (TREND AREA) R 40 EXC</x:v>
      </x:c>
      <x:c r="D8" s="12" t="n">
        <x:v>26109286</x:v>
      </x:c>
      <x:c r="E8" s="12" t="n">
        <x:v>63096584</x:v>
      </x:c>
      <x:c r="F8" s="12" t="n">
        <x:v>0</x:v>
      </x:c>
      <x:c r="G8" s="18" t="n">
        <x:v>0.02012586841854909</x:v>
      </x:c>
    </x:row>
    <x:row r="9">
      <x:c r="A9" t="str">
        <x:v>Martin</x:v>
      </x:c>
      <x:c r="B9" t="n">
        <x:v>3</x:v>
      </x:c>
      <x:c r="C9" t="str">
        <x:v>EMMA (BARNETT SHALE)</x:v>
      </x:c>
      <x:c r="D9" s="12" t="n">
        <x:v>12070196</x:v>
      </x:c>
      <x:c r="E9" s="12" t="n">
        <x:v>55546182</x:v>
      </x:c>
      <x:c r="F9" s="12" t="n">
        <x:v>1262789</x:v>
      </x:c>
      <x:c r="G9" s="18" t="n">
        <x:v>0.009304091137616615</x:v>
      </x:c>
    </x:row>
    <x:row r="10">
      <x:c r="A10" t="str">
        <x:v>Martin</x:v>
      </x:c>
      <x:c r="B10" t="n">
        <x:v>4</x:v>
      </x:c>
      <x:c r="C10" t="str">
        <x:v>LOWE (ATOKA)</x:v>
      </x:c>
      <x:c r="D10" s="12" t="n">
        <x:v>723072</x:v>
      </x:c>
      <x:c r="E10" s="12" t="n">
        <x:v>3780786</x:v>
      </x:c>
      <x:c r="F10" s="12" t="n">
        <x:v>0</x:v>
      </x:c>
      <x:c r="G10" s="18" t="n">
        <x:v>0.0005573669049830443</x:v>
      </x:c>
    </x:row>
    <x:row r="11">
      <x:c r="A11" t="str">
        <x:v>Martin</x:v>
      </x:c>
      <x:c r="B11" t="n">
        <x:v>5</x:v>
      </x:c>
      <x:c r="C11" t="str">
        <x:v>KIVA (DEV)</x:v>
      </x:c>
      <x:c r="D11" s="12" t="n">
        <x:v>679814</x:v>
      </x:c>
      <x:c r="E11" s="12" t="n">
        <x:v>2505165</x:v>
      </x:c>
      <x:c r="F11" s="12" t="n">
        <x:v>0</x:v>
      </x:c>
      <x:c r="G11" s="18" t="n">
        <x:v>0.0005240222621594299</x:v>
      </x:c>
    </x:row>
    <x:row r="12">
      <x:c r="A12" t="str">
        <x:v>Howard</x:v>
      </x:c>
      <x:c r="B12" t="n">
        <x:v>1</x:v>
      </x:c>
      <x:c r="C12" t="str">
        <x:v>SPRABERRY (TREND AREA)</x:v>
      </x:c>
      <x:c r="D12" s="12" t="n">
        <x:v>692121345</x:v>
      </x:c>
      <x:c r="E12" s="12" t="n">
        <x:v>1994038708</x:v>
      </x:c>
      <x:c r="F12" s="12" t="n">
        <x:v>4050</x:v>
      </x:c>
      <x:c r="G12" s="18" t="n">
        <x:v>0.9722577265078101</x:v>
      </x:c>
    </x:row>
    <x:row r="13">
      <x:c r="A13" t="str">
        <x:v>Howard</x:v>
      </x:c>
      <x:c r="B13" t="n">
        <x:v>2</x:v>
      </x:c>
      <x:c r="C13" t="str">
        <x:v>HOWARD GLASSCOCK (CONSOLIDATED)</x:v>
      </x:c>
      <x:c r="D13" s="12" t="n">
        <x:v>8418503</x:v>
      </x:c>
      <x:c r="E13" s="12" t="n">
        <x:v>750308</x:v>
      </x:c>
      <x:c r="F13" s="12" t="n">
        <x:v>0</x:v>
      </x:c>
      <x:c r="G13" s="18" t="n">
        <x:v>0.011825895338308311</x:v>
      </x:c>
    </x:row>
    <x:row r="14">
      <x:c r="A14" t="str">
        <x:v>Howard</x:v>
      </x:c>
      <x:c r="B14" t="n">
        <x:v>3</x:v>
      </x:c>
      <x:c r="C14" t="str">
        <x:v>SPRABERRY (TREND AREA) R 40 EXC</x:v>
      </x:c>
      <x:c r="D14" s="12" t="n">
        <x:v>5520063</x:v>
      </x:c>
      <x:c r="E14" s="12" t="n">
        <x:v>10875046</x:v>
      </x:c>
      <x:c r="F14" s="12" t="n">
        <x:v>0</x:v>
      </x:c>
      <x:c r="G14" s="18" t="n">
        <x:v>0.007754310629677057</x:v>
      </x:c>
    </x:row>
    <x:row r="15">
      <x:c r="A15" t="str">
        <x:v>Howard</x:v>
      </x:c>
      <x:c r="B15" t="n">
        <x:v>4</x:v>
      </x:c>
      <x:c r="C15" t="str">
        <x:v>IATAN, EAST HOWARD</x:v>
      </x:c>
      <x:c r="D15" s="12" t="n">
        <x:v>2454419</x:v>
      </x:c>
      <x:c r="E15" s="12" t="n">
        <x:v>74160</x:v>
      </x:c>
      <x:c r="F15" s="12" t="n">
        <x:v>0</x:v>
      </x:c>
      <x:c r="G15" s="18" t="n">
        <x:v>0.003447846037514668</x:v>
      </x:c>
    </x:row>
    <x:row r="16">
      <x:c r="A16" t="str">
        <x:v>Howard</x:v>
      </x:c>
      <x:c r="B16" t="n">
        <x:v>5</x:v>
      </x:c>
      <x:c r="C16" t="str">
        <x:v>SNYDER</x:v>
      </x:c>
      <x:c r="D16" s="12" t="n">
        <x:v>811506</x:v>
      </x:c>
      <x:c r="E16" s="12" t="n">
        <x:v>0</x:v>
      </x:c>
      <x:c r="F16" s="12" t="n">
        <x:v>0</x:v>
      </x:c>
      <x:c r="G16" s="18" t="n">
        <x:v>0.0011399633666946754</x:v>
      </x:c>
    </x:row>
    <x:row r="17">
      <x:c r="A17" t="str">
        <x:v>Reeves</x:v>
      </x:c>
      <x:c r="B17" t="n">
        <x:v>1</x:v>
      </x:c>
      <x:c r="C17" t="str">
        <x:v>WOLFBONE (TREND AREA)</x:v>
      </x:c>
      <x:c r="D17" s="12" t="n">
        <x:v>202414450</x:v>
      </x:c>
      <x:c r="E17" s="12" t="n">
        <x:v>540845340</x:v>
      </x:c>
      <x:c r="F17" s="12" t="n">
        <x:v>817623</x:v>
      </x:c>
      <x:c r="G17" s="18" t="n">
        <x:v>0.3978692681119152</x:v>
      </x:c>
    </x:row>
    <x:row r="18">
      <x:c r="A18" t="str">
        <x:v>Reeves</x:v>
      </x:c>
      <x:c r="B18" t="n">
        <x:v>2</x:v>
      </x:c>
      <x:c r="C18" t="str">
        <x:v>PHANTOM (WOLFCAMP)</x:v>
      </x:c>
      <x:c r="D18" s="12" t="n">
        <x:v>188233940</x:v>
      </x:c>
      <x:c r="E18" s="12" t="n">
        <x:v>4871827261</x:v>
      </x:c>
      <x:c r="F18" s="12" t="n">
        <x:v>548344159</x:v>
      </x:c>
      <x:c r="G18" s="18" t="n">
        <x:v>0.36999581769790724</x:v>
      </x:c>
    </x:row>
    <x:row r="19">
      <x:c r="A19" t="str">
        <x:v>Reeves</x:v>
      </x:c>
      <x:c r="B19" t="n">
        <x:v>3</x:v>
      </x:c>
      <x:c r="C19" t="str">
        <x:v>HOEFS T-K (WOLFCAMP)</x:v>
      </x:c>
      <x:c r="D19" s="12" t="n">
        <x:v>83260928</x:v>
      </x:c>
      <x:c r="E19" s="12" t="n">
        <x:v>258325685</x:v>
      </x:c>
      <x:c r="F19" s="12" t="n">
        <x:v>59023</x:v>
      </x:c>
      <x:c r="G19" s="18" t="n">
        <x:v>0.16365908899131887</x:v>
      </x:c>
    </x:row>
    <x:row r="20">
      <x:c r="A20" t="str">
        <x:v>Reeves</x:v>
      </x:c>
      <x:c r="B20" t="n">
        <x:v>4</x:v>
      </x:c>
      <x:c r="C20" t="str">
        <x:v>SANDBAR (BONE SPRING)</x:v>
      </x:c>
      <x:c r="D20" s="12" t="n">
        <x:v>30205176</x:v>
      </x:c>
      <x:c r="E20" s="12" t="n">
        <x:v>141605619</x:v>
      </x:c>
      <x:c r="F20" s="12" t="n">
        <x:v>14377839</x:v>
      </x:c>
      <x:c r="G20" s="18" t="n">
        <x:v>0.05937180506782784</x:v>
      </x:c>
    </x:row>
    <x:row r="21">
      <x:c r="A21" t="str">
        <x:v>Reeves</x:v>
      </x:c>
      <x:c r="B21" t="n">
        <x:v>5</x:v>
      </x:c>
      <x:c r="C21" t="str">
        <x:v>TWO GEORGES (BONE SPRING)</x:v>
      </x:c>
      <x:c r="D21" s="12" t="n">
        <x:v>2120915</x:v>
      </x:c>
      <x:c r="E21" s="12" t="n">
        <x:v>8703798</x:v>
      </x:c>
      <x:c r="F21" s="12" t="n">
        <x:v>0</x:v>
      </x:c>
      <x:c r="G21" s="18" t="n">
        <x:v>0.004168906413438283</x:v>
      </x:c>
    </x:row>
    <x:row r="22">
      <x:c r="A22" t="str">
        <x:v>Loving</x:v>
      </x:c>
      <x:c r="B22" t="n">
        <x:v>1</x:v>
      </x:c>
      <x:c r="C22" t="str">
        <x:v>PHANTOM (WOLFCAMP)</x:v>
      </x:c>
      <x:c r="D22" s="12" t="n">
        <x:v>503413214</x:v>
      </x:c>
      <x:c r="E22" s="12" t="n">
        <x:v>2638064176</x:v>
      </x:c>
      <x:c r="F22" s="12" t="n">
        <x:v>272198482</x:v>
      </x:c>
      <x:c r="G22" s="18" t="n">
        <x:v>0.8370590890772805</x:v>
      </x:c>
    </x:row>
    <x:row r="23">
      <x:c r="A23" t="str">
        <x:v>Loving</x:v>
      </x:c>
      <x:c r="B23" t="n">
        <x:v>2</x:v>
      </x:c>
      <x:c r="C23" t="str">
        <x:v>SANDBAR (BONE SPRING)</x:v>
      </x:c>
      <x:c r="D23" s="12" t="n">
        <x:v>63968879</x:v>
      </x:c>
      <x:c r="E23" s="12" t="n">
        <x:v>682263323</x:v>
      </x:c>
      <x:c r="F23" s="12" t="n">
        <x:v>100305153</x:v>
      </x:c>
      <x:c r="G23" s="18" t="n">
        <x:v>0.10636536764613966</x:v>
      </x:c>
    </x:row>
    <x:row r="24">
      <x:c r="A24" t="str">
        <x:v>Loving</x:v>
      </x:c>
      <x:c r="B24" t="n">
        <x:v>3</x:v>
      </x:c>
      <x:c r="C24" t="str">
        <x:v>TWO GEORGES (BONE SPRING)</x:v>
      </x:c>
      <x:c r="D24" s="12" t="n">
        <x:v>31826281</x:v>
      </x:c>
      <x:c r="E24" s="12" t="n">
        <x:v>86741805</x:v>
      </x:c>
      <x:c r="F24" s="12" t="n">
        <x:v>0</x:v>
      </x:c>
      <x:c r="G24" s="18" t="n">
        <x:v>0.052919703022689356</x:v>
      </x:c>
    </x:row>
    <x:row r="25">
      <x:c r="A25" t="str">
        <x:v>Loving</x:v>
      </x:c>
      <x:c r="B25" t="n">
        <x:v>4</x:v>
      </x:c>
      <x:c r="C25" t="str">
        <x:v>GRICE (DELAWARE)</x:v>
      </x:c>
      <x:c r="D25" s="12" t="n">
        <x:v>478622</x:v>
      </x:c>
      <x:c r="E25" s="12" t="n">
        <x:v>679087</x:v>
      </x:c>
      <x:c r="F25" s="12" t="n">
        <x:v>0</x:v>
      </x:c>
      <x:c r="G25" s="18" t="n">
        <x:v>0.0007958370662323261</x:v>
      </x:c>
    </x:row>
    <x:row r="26">
      <x:c r="A26" t="str">
        <x:v>Loving</x:v>
      </x:c>
      <x:c r="B26" t="n">
        <x:v>5</x:v>
      </x:c>
      <x:c r="C26" t="str">
        <x:v>MOORE-HOOPER (WLFCMP\PENN CONS)</x:v>
      </x:c>
      <x:c r="D26" s="12" t="n">
        <x:v>474529</x:v>
      </x:c>
      <x:c r="E26" s="12" t="n">
        <x:v>2544938</x:v>
      </x:c>
      <x:c r="F26" s="12" t="n">
        <x:v>6693</x:v>
      </x:c>
      <x:c r="G26" s="18" t="n">
        <x:v>0.000789031359198197</x:v>
      </x:c>
    </x:row>
  </x:sheetData>
  <x:pageMargins left="0.7" right="0.7" top="0.75" bottom="0.75" header="0.3" footer="0.3"/>
  <x:tableParts count="1">
    <x:tablePart xmlns:r="http://schemas.openxmlformats.org/officeDocument/2006/relationships" r:id="R67df7113af9c48f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6" hidden="0" customWidth="1"/>
  </x:cols>
  <x:sheetData>
    <x:row r="1">
      <x:c r="A1" s="33" t="str">
        <x:v>Methodology and Source Notes</x:v>
      </x:c>
      <x:c r="B1" s="33"/>
      <x:c r="C1" s="33"/>
      <x:c r="D1" s="33"/>
      <x:c r="E1" s="33"/>
      <x:c r="F1" s="33"/>
      <x:c r="G1" s="33"/>
      <x:c r="H1" s="33"/>
    </x:row>
    <x:row r="2">
      <x:c r="A2" s="33"/>
      <x:c r="B2" s="33"/>
      <x:c r="C2" s="33"/>
      <x:c r="D2" s="33"/>
      <x:c r="E2" s="33"/>
      <x:c r="F2" s="33"/>
      <x:c r="G2" s="33"/>
      <x:c r="H2" s="33"/>
    </x:row>
    <x:row r="4">
      <x:c r="A4" s="6" t="str">
        <x:v>Item</x:v>
      </x:c>
      <x:c r="B4" s="6" t="str">
        <x:v>Definition / Note</x:v>
      </x:c>
    </x:row>
    <x:row r="5">
      <x:c r="A5" s="22" t="str">
        <x:v>Source</x:v>
      </x:c>
      <x:c r="B5" s="22" t="str">
        <x:v>Texas Railroad Commission Production Data Query (PDQ)</x:v>
      </x:c>
    </x:row>
    <x:row r="6">
      <x:c r="A6" s="22" t="str">
        <x:v>Source URL</x:v>
      </x:c>
      <x:c r="B6" s="22" t="str">
        <x:v>https://webapps2.rrc.texas.gov/EWA/ewaPdqMain.do</x:v>
      </x:c>
    </x:row>
    <x:row r="7">
      <x:c r="A7" s="22" t="str">
        <x:v>Counties</x:v>
      </x:c>
      <x:c r="B7" s="22" t="str">
        <x:v>Midland, Martin, Howard, Reeves, Loving</x:v>
      </x:c>
    </x:row>
    <x:row r="8">
      <x:c r="A8" s="22" t="str">
        <x:v>Period</x:v>
      </x:c>
      <x:c r="B8" s="22" t="str">
        <x:v>January 2020 through March 2026</x:v>
      </x:c>
    </x:row>
    <x:row r="9">
      <x:c r="A9" s="22" t="str">
        <x:v>Well Type</x:v>
      </x:c>
      <x:c r="B9" s="22" t="str">
        <x:v>Both</x:v>
      </x:c>
    </x:row>
    <x:row r="10">
      <x:c r="A10" s="22" t="str">
        <x:v>Gas</x:v>
      </x:c>
      <x:c r="B10" s="22" t="str">
        <x:v>Casinghead gas + GW gas</x:v>
      </x:c>
    </x:row>
    <x:row r="11">
      <x:c r="A11" s="22" t="str">
        <x:v>Total Liquids</x:v>
      </x:c>
      <x:c r="B11" s="22" t="str">
        <x:v>Oil + condensate</x:v>
      </x:c>
    </x:row>
    <x:row r="12">
      <x:c r="A12" s="22" t="str">
        <x:v>GLR</x:v>
      </x:c>
      <x:c r="B12" s="22" t="str">
        <x:v>Gas (MCF) / total liquids (BBL); used for a fairer cross-county product-mix comparison</x:v>
      </x:c>
    </x:row>
    <x:row r="14">
      <x:c r="A14" s="6" t="str">
        <x:v>Interpretation Note</x:v>
      </x:c>
      <x:c r="B14" s="6" t="str">
        <x:v>Detail</x:v>
      </x:c>
    </x:row>
    <x:row r="15">
      <x:c r="A15" s="22" t="str">
        <x:v>Operator names</x:v>
      </x:c>
      <x:c r="B15" s="22" t="str">
        <x:v>Operator reports aggregate production over the full query period. Historical operator names can persist after acquisitions or asset transfers; this is not a current acreage-ownership table.</x:v>
      </x:c>
    </x:row>
    <x:row r="16">
      <x:c r="A16" s="22" t="str">
        <x:v>2026 momentum</x:v>
      </x:c>
      <x:c r="B16" s="22" t="str">
        <x:v>Q1 2026 average monthly production is compared with the 2025 average monthly rate. It is a directional run-rate indicator, not a full-year forecast.</x:v>
      </x:c>
    </x:row>
    <x:row r="17">
      <x:c r="A17" s="22" t="str">
        <x:v>Partial 2026</x:v>
      </x:c>
      <x:c r="B17" s="22" t="str">
        <x:v>2026 is partial through March and is excluded from full-year trend/growth comparisons.</x:v>
      </x:c>
    </x:row>
    <x:row r="18">
      <x:c r="A18" s="22" t="str">
        <x:v>Scope</x:v>
      </x:c>
      <x:c r="B18" s="22" t="str">
        <x:v>County-level public-data screen only; no well-level economics, cost structure, EURs, acreage quality, or commodity-price assumptions are included.</x:v>
      </x:c>
    </x:row>
  </x:sheetData>
  <x:mergeCells>
    <x:mergeCell ref="A1:H2"/>
  </x:mergeCells>
  <x:pageMargins left="0.7" right="0.7" top="0.75" bottom="0.75" header="0.3" footer="0.3"/>
</x:worksheet>
</file>