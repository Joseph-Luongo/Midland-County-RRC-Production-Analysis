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elu\Downloads\"/>
    </mc:Choice>
  </mc:AlternateContent>
  <xr:revisionPtr revIDLastSave="0" documentId="13_ncr:1_{8827F710-0B5C-4580-80E2-8AB80E5D1A90}" xr6:coauthVersionLast="47" xr6:coauthVersionMax="47" xr10:uidLastSave="{00000000-0000-0000-0000-000000000000}"/>
  <bookViews>
    <workbookView xWindow="-108" yWindow="-108" windowWidth="24792" windowHeight="14856" firstSheet="2" activeTab="7" xr2:uid="{00000000-000D-0000-FFFF-FFFF00000000}"/>
  </bookViews>
  <sheets>
    <sheet name="Executive Summary" sheetId="1" r:id="rId1"/>
    <sheet name="Monthly Trends" sheetId="2" r:id="rId2"/>
    <sheet name="Annual Summary" sheetId="3" r:id="rId3"/>
    <sheet name="Field Report" sheetId="4" r:id="rId4"/>
    <sheet name="Operator Report" sheetId="5" r:id="rId5"/>
    <sheet name="Lease Report" sheetId="6" r:id="rId6"/>
    <sheet name="All Fields" sheetId="7" r:id="rId7"/>
    <sheet name="Charts" sheetId="8" r:id="rId8"/>
    <sheet name="Source Notes" sheetId="9" r:id="rId9"/>
  </sheets>
  <calcPr calcId="0"/>
</workbook>
</file>

<file path=xl/sharedStrings.xml><?xml version="1.0" encoding="utf-8"?>
<sst xmlns="http://schemas.openxmlformats.org/spreadsheetml/2006/main" count="469" uniqueCount="394">
  <si>
    <t>Midland County RRC Production Analysis</t>
  </si>
  <si>
    <t>Data source</t>
  </si>
  <si>
    <t>Texas Railroad Commission Production Data Query exports uploaded by user</t>
  </si>
  <si>
    <t>County</t>
  </si>
  <si>
    <t>Midland</t>
  </si>
  <si>
    <t>Date range</t>
  </si>
  <si>
    <t>Jan 2020 - Mar 2026</t>
  </si>
  <si>
    <t>Total oil (BBL)</t>
  </si>
  <si>
    <t>Total gas (MCF)</t>
  </si>
  <si>
    <t>Total condensate (BBL)</t>
  </si>
  <si>
    <t>Average GOR (MCF/BBL)</t>
  </si>
  <si>
    <t>2020 to 2025 oil growth</t>
  </si>
  <si>
    <t>2020 to 2025 gas growth</t>
  </si>
  <si>
    <t>2020 to 2025 GOR growth</t>
  </si>
  <si>
    <t>Top field by oil</t>
  </si>
  <si>
    <t>SPRABERRY (TREND AREA)</t>
  </si>
  <si>
    <t>Top operator by oil</t>
  </si>
  <si>
    <t>PIONEER NATURAL RES. USA, INC.</t>
  </si>
  <si>
    <t>Top 10 fields share of oil</t>
  </si>
  <si>
    <t>Top 10% leases share of oil</t>
  </si>
  <si>
    <t>Top 20 leases share of oil</t>
  </si>
  <si>
    <t>Nonzero-oil lease count</t>
  </si>
  <si>
    <t>Main findings</t>
  </si>
  <si>
    <t>1) Oil production grew steadily from 2020 to 2025.</t>
  </si>
  <si>
    <t>2) Gas grew much faster than oil, increasing Midland County GOR.</t>
  </si>
  <si>
    <t>3) Production is highly concentrated in Spraberry Trend Area fields.</t>
  </si>
  <si>
    <t>4) Pioneer Natural Res. USA, Inc. is the top operator by oil in this dataset.</t>
  </si>
  <si>
    <t>5) The top 10% of nonzero-oil leases account for about half of oil production.</t>
  </si>
  <si>
    <t>Date</t>
  </si>
  <si>
    <t>Year</t>
  </si>
  <si>
    <t>Oil (BBL)</t>
  </si>
  <si>
    <t>Casinghead (MCF)</t>
  </si>
  <si>
    <t>GW Gas (MCF)</t>
  </si>
  <si>
    <t>Gas Total (MCF)</t>
  </si>
  <si>
    <t>Condensate (BBL)</t>
  </si>
  <si>
    <t>GOR (MCF/BBL)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</si>
  <si>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</si>
  <si>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</si>
  <si>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</si>
  <si>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</si>
  <si>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</si>
  <si>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</si>
  <si>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</si>
  <si>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</si>
  <si>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</si>
  <si>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</si>
  <si>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</si>
  <si>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</si>
  <si>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</si>
  <si>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</si>
  <si>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</si>
  <si>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</si>
  <si>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</si>
  <si>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</si>
  <si>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</si>
  <si>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</si>
  <si>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</si>
  <si>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</si>
  <si>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</si>
  <si>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</si>
  <si>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</si>
  <si>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</si>
  <si>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</si>
  <si>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</si>
  <si>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</si>
  <si>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</si>
  <si>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</si>
  <si>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</si>
  <si>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</si>
  <si>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</si>
  <si>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</si>
  <si>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</si>
  <si>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</si>
  <si>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</si>
  <si>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</si>
  <si>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</si>
  <si>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</si>
  <si>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</si>
  <si>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</si>
  <si>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</si>
  <si>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</si>
  <si>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</si>
  <si>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</si>
  <si>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</si>
  <si>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</si>
  <si>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</si>
  <si>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</si>
  <si>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</si>
  <si>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</si>
  <si>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</si>
  <si>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</si>
  <si>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</si>
  <si>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</si>
  <si>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</si>
  <si>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</si>
  <si>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</si>
  <si>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</si>
  <si>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</si>
  <si>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</si>
  <si>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</si>
  <si>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</si>
  <si>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</si>
  <si>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</si>
  <si>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</si>
  <si>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</si>
  <si>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</si>
  <si>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</si>
  <si>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</si>
  <si>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</si>
  <si>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</si>
  <si>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</si>
  <si>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Months in Dataset</t>
  </si>
  <si>
    <t>Rank</t>
  </si>
  <si>
    <t>Field Name</t>
  </si>
  <si>
    <t>Field No.</t>
  </si>
  <si>
    <t>Share of County Oil</t>
  </si>
  <si>
    <t>85280300</t>
  </si>
  <si>
    <t>SPRABERRY (TREND AREA) R 40 EXC</t>
  </si>
  <si>
    <t>85280301</t>
  </si>
  <si>
    <t>PARKS (CONSOLIDATED)</t>
  </si>
  <si>
    <t>69233125</t>
  </si>
  <si>
    <t>PEGASUS (CONSOLIDATED)</t>
  </si>
  <si>
    <t>70279100</t>
  </si>
  <si>
    <t>EMMA (BARNETT SHALE)</t>
  </si>
  <si>
    <t>28899040</t>
  </si>
  <si>
    <t>DORA ROBERTS (CONSOLIDATED)</t>
  </si>
  <si>
    <t>25395100</t>
  </si>
  <si>
    <t>85279200</t>
  </si>
  <si>
    <t>85279201</t>
  </si>
  <si>
    <t>GERMANIA (GRAYBURG)</t>
  </si>
  <si>
    <t>34563400</t>
  </si>
  <si>
    <t>PEART (BARNETT)</t>
  </si>
  <si>
    <t>69996200</t>
  </si>
  <si>
    <t>VIREY (ELLENBURGER)</t>
  </si>
  <si>
    <t>93958250</t>
  </si>
  <si>
    <t>MOOSE (QUEEN)</t>
  </si>
  <si>
    <t>62781500</t>
  </si>
  <si>
    <t>ROSE PETAL (LOWER MISS.)</t>
  </si>
  <si>
    <t>78285500</t>
  </si>
  <si>
    <t>KIVA (DEV)</t>
  </si>
  <si>
    <t>49790500</t>
  </si>
  <si>
    <t>DORA ROBERTS (ELLENBURGER)</t>
  </si>
  <si>
    <t>25395332</t>
  </si>
  <si>
    <t>AZALEA (GRAYBURG)</t>
  </si>
  <si>
    <t>04605444</t>
  </si>
  <si>
    <t>PEGASUS (SAN ANDRES)</t>
  </si>
  <si>
    <t>70279625</t>
  </si>
  <si>
    <t>AZALEA (STRAWN)</t>
  </si>
  <si>
    <t>04605666</t>
  </si>
  <si>
    <t>WAR-SAN (ELLENBURGER)</t>
  </si>
  <si>
    <t>95108375</t>
  </si>
  <si>
    <t>VIREY (QUEEN)</t>
  </si>
  <si>
    <t>93958525</t>
  </si>
  <si>
    <t>Operator Name</t>
  </si>
  <si>
    <t>Operator No.</t>
  </si>
  <si>
    <t>665748</t>
  </si>
  <si>
    <t>ENDEAVOR ENERGY RESOURCES L.P.</t>
  </si>
  <si>
    <t>251726</t>
  </si>
  <si>
    <t>XTO ENERGY INC.</t>
  </si>
  <si>
    <t>945936</t>
  </si>
  <si>
    <t>CHEVRON U. S. A. INC.</t>
  </si>
  <si>
    <t>148113</t>
  </si>
  <si>
    <t>DIAMONDBACK E&amp;P LLC</t>
  </si>
  <si>
    <t>217012</t>
  </si>
  <si>
    <t>COG OPERATING LLC</t>
  </si>
  <si>
    <t>166150</t>
  </si>
  <si>
    <t>APACHE CORPORATION</t>
  </si>
  <si>
    <t>027200</t>
  </si>
  <si>
    <t>OVINTIV USA INC.</t>
  </si>
  <si>
    <t>628658</t>
  </si>
  <si>
    <t>CROWNQUEST OPERATING, LLC</t>
  </si>
  <si>
    <t>191554</t>
  </si>
  <si>
    <t>PERMIAN DEEP ROCK OIL CO., LLC</t>
  </si>
  <si>
    <t>655805</t>
  </si>
  <si>
    <t>DISCOVERY OPERATING, INC.</t>
  </si>
  <si>
    <t>220865</t>
  </si>
  <si>
    <t>OXYROCK OPERATING, LLC</t>
  </si>
  <si>
    <t>102324</t>
  </si>
  <si>
    <t>FASKEN OIL AND RANCH, LTD.</t>
  </si>
  <si>
    <t>263696</t>
  </si>
  <si>
    <t>DE3 OPERATING LLC</t>
  </si>
  <si>
    <t>518310</t>
  </si>
  <si>
    <t>SUMMIT PETROLEUM LLC</t>
  </si>
  <si>
    <t>829221</t>
  </si>
  <si>
    <t>OCCIDENTAL PERMIAN LTD.</t>
  </si>
  <si>
    <t>617544</t>
  </si>
  <si>
    <t>HENRY RESOURCES LLC</t>
  </si>
  <si>
    <t>378535</t>
  </si>
  <si>
    <t>CALLON PETROLEUM OPERATING CO</t>
  </si>
  <si>
    <t>124828</t>
  </si>
  <si>
    <t>PARSLEY ENERGY OPERATIONS, LLC</t>
  </si>
  <si>
    <t>642652</t>
  </si>
  <si>
    <t>EARTHSTONE OPERATING, LLC</t>
  </si>
  <si>
    <t>238732</t>
  </si>
  <si>
    <t>Lease Name</t>
  </si>
  <si>
    <t>Lease No.</t>
  </si>
  <si>
    <t>TEXAS TEN Y PU</t>
  </si>
  <si>
    <t>46263</t>
  </si>
  <si>
    <t>SOA SCHARBAUER SE</t>
  </si>
  <si>
    <t>43735</t>
  </si>
  <si>
    <t>SCHARBAUER, C.</t>
  </si>
  <si>
    <t>43259</t>
  </si>
  <si>
    <t>NOBLES</t>
  </si>
  <si>
    <t>39040</t>
  </si>
  <si>
    <t>SOUTH CURTIS RANCH</t>
  </si>
  <si>
    <t>40691</t>
  </si>
  <si>
    <t>PEGASUS FIELD UNIT 3</t>
  </si>
  <si>
    <t>17154</t>
  </si>
  <si>
    <t>BRD ASTRODOME UNIT</t>
  </si>
  <si>
    <t>51039</t>
  </si>
  <si>
    <t>GBG REEDY 13/25 UNIT</t>
  </si>
  <si>
    <t>54568</t>
  </si>
  <si>
    <t>HUTT, DONALD L.'C'</t>
  </si>
  <si>
    <t>37123</t>
  </si>
  <si>
    <t>GRIDIRON</t>
  </si>
  <si>
    <t>45236</t>
  </si>
  <si>
    <t>ST</t>
  </si>
  <si>
    <t>39560</t>
  </si>
  <si>
    <t>CMC BLUEBONNET 17/29 UNIT</t>
  </si>
  <si>
    <t>54306</t>
  </si>
  <si>
    <t>TRIPLE HOP</t>
  </si>
  <si>
    <t>44329</t>
  </si>
  <si>
    <t>FASKEN 9-16-21 UNIT 1</t>
  </si>
  <si>
    <t>50527</t>
  </si>
  <si>
    <t>TEX-HARVEY SPRABERRY</t>
  </si>
  <si>
    <t>20830</t>
  </si>
  <si>
    <t>PARKS, ROY</t>
  </si>
  <si>
    <t>39583</t>
  </si>
  <si>
    <t>PARKS FIELD UNIT 2</t>
  </si>
  <si>
    <t>39630</t>
  </si>
  <si>
    <t>BRD WRIGLEY UNIT</t>
  </si>
  <si>
    <t>50384</t>
  </si>
  <si>
    <t>CHARGER</t>
  </si>
  <si>
    <t>51990</t>
  </si>
  <si>
    <t>RIO BRAZOS 26-15 UNIT 1</t>
  </si>
  <si>
    <t>57741</t>
  </si>
  <si>
    <t>Share of Oil</t>
  </si>
  <si>
    <t>BRAZOS (SAN ANDRES)</t>
  </si>
  <si>
    <t>11601500</t>
  </si>
  <si>
    <t>MOONLIGHT (MISSISSIPPIAN)</t>
  </si>
  <si>
    <t>62703400</t>
  </si>
  <si>
    <t>PARKS (FUSSELMAN-MONTOYA)</t>
  </si>
  <si>
    <t>69233400</t>
  </si>
  <si>
    <t>AZALEA (DEVONIAN)</t>
  </si>
  <si>
    <t>04605222</t>
  </si>
  <si>
    <t>PEGASUS (ELLENBURGER)</t>
  </si>
  <si>
    <t>70279250</t>
  </si>
  <si>
    <t>AZALEA (ATOKA)</t>
  </si>
  <si>
    <t>04605080</t>
  </si>
  <si>
    <t>WAR-SAN (FUSSELMAN)</t>
  </si>
  <si>
    <t>95108500</t>
  </si>
  <si>
    <t>VIREY (FUSSELMAN)</t>
  </si>
  <si>
    <t>93958375</t>
  </si>
  <si>
    <t>AZALEA,EAST (STRAWN)</t>
  </si>
  <si>
    <t>04607600</t>
  </si>
  <si>
    <t>PARKS, S. (PENNSYLVANIAN)</t>
  </si>
  <si>
    <t>69242460</t>
  </si>
  <si>
    <t>PEGASUS (DEVONIAN)</t>
  </si>
  <si>
    <t>70279125</t>
  </si>
  <si>
    <t>BRYANT -G- (DEVONIAN)</t>
  </si>
  <si>
    <t>12763333</t>
  </si>
  <si>
    <t>AZALEA, EAST (WOODFORD)</t>
  </si>
  <si>
    <t>04607550</t>
  </si>
  <si>
    <t>HEADLEE (FUSSELMAN)</t>
  </si>
  <si>
    <t>39969650</t>
  </si>
  <si>
    <t>MIDLAND, EAST (DEVONIAN)</t>
  </si>
  <si>
    <t>61098500</t>
  </si>
  <si>
    <t>HILL RANCH (MISS)</t>
  </si>
  <si>
    <t>41462666</t>
  </si>
  <si>
    <t>AZALEA (SAN ANDRES)</t>
  </si>
  <si>
    <t>04605600</t>
  </si>
  <si>
    <t>AZALEA (WOLFCAMP)</t>
  </si>
  <si>
    <t>04605888</t>
  </si>
  <si>
    <t>BETTY SUE (DEVONIAN)</t>
  </si>
  <si>
    <t>07629300</t>
  </si>
  <si>
    <t>MIDWEST (SPRABERRY-DEAN)</t>
  </si>
  <si>
    <t>61221650</t>
  </si>
  <si>
    <t>HORSELOT (STRAWN)</t>
  </si>
  <si>
    <t>42711500</t>
  </si>
  <si>
    <t>MID-MAR, EAST (STRAWN)</t>
  </si>
  <si>
    <t>61143800</t>
  </si>
  <si>
    <t>HI-LONESOME (PENNSYLVANIAN)</t>
  </si>
  <si>
    <t>40975664</t>
  </si>
  <si>
    <t>DORA ROBERTS (DEVONIAN)</t>
  </si>
  <si>
    <t>25395166</t>
  </si>
  <si>
    <t>SALLIE ANN (SPRABERRY-WOLFCAMP)</t>
  </si>
  <si>
    <t>79820800</t>
  </si>
  <si>
    <t>PARSLEY (ATOKA)</t>
  </si>
  <si>
    <t>69440100</t>
  </si>
  <si>
    <t>WAR-SAN (DEVONIAN)</t>
  </si>
  <si>
    <t>95108125</t>
  </si>
  <si>
    <t>DORA ROBERTS (FUSSELMAN)</t>
  </si>
  <si>
    <t>25395498</t>
  </si>
  <si>
    <t>HI-LONESOME (WOLFCAMP)</t>
  </si>
  <si>
    <t>40975830</t>
  </si>
  <si>
    <t>SWEETIE PECK (PENNSYLVANIAN)</t>
  </si>
  <si>
    <t>87599568</t>
  </si>
  <si>
    <t>WARFIELD (WOLFCAMP)</t>
  </si>
  <si>
    <t>95237852</t>
  </si>
  <si>
    <t>DESPERADO (ATOKA)</t>
  </si>
  <si>
    <t>24396100</t>
  </si>
  <si>
    <t>WAR-SAN (DEVONIAN-OIL)</t>
  </si>
  <si>
    <t>95108250</t>
  </si>
  <si>
    <t>SWEETIE PECK (DEVONIAN)</t>
  </si>
  <si>
    <t>87599142</t>
  </si>
  <si>
    <t>STA (ATOKA)</t>
  </si>
  <si>
    <t>85448150</t>
  </si>
  <si>
    <t>WARFIELD (FUSSELMAN)</t>
  </si>
  <si>
    <t>95237426</t>
  </si>
  <si>
    <t>WILDCAT</t>
  </si>
  <si>
    <t>00018001</t>
  </si>
  <si>
    <t>AGAR (ATOKA, LOWER)</t>
  </si>
  <si>
    <t>00782500</t>
  </si>
  <si>
    <t>AZALEA (FUSSELMAN)</t>
  </si>
  <si>
    <t>04605333</t>
  </si>
  <si>
    <t>BRADFORD RANCH (ATOKA)</t>
  </si>
  <si>
    <t>11240500</t>
  </si>
  <si>
    <t>BRADFORD RANCH (STRAWN)</t>
  </si>
  <si>
    <t>11240600</t>
  </si>
  <si>
    <t>BRYANT -G- (STRAWN)</t>
  </si>
  <si>
    <t>12763666</t>
  </si>
  <si>
    <t>FRYSAK FARMS (DEVONIAN)</t>
  </si>
  <si>
    <t>33154200</t>
  </si>
  <si>
    <t>GERMANIA (SAN ANDRES)</t>
  </si>
  <si>
    <t>34563600</t>
  </si>
  <si>
    <t>GLASS (GRAYBURG)</t>
  </si>
  <si>
    <t>35215200</t>
  </si>
  <si>
    <t>HALLANAN (STRAWN)</t>
  </si>
  <si>
    <t>38227333</t>
  </si>
  <si>
    <t>HEADLEE (DEVONIAN)</t>
  </si>
  <si>
    <t>39969400</t>
  </si>
  <si>
    <t>HEADLEE (ELLENBURGER)</t>
  </si>
  <si>
    <t>39969600</t>
  </si>
  <si>
    <t>J. L. M. (MISSISSIPPIAN)</t>
  </si>
  <si>
    <t>45073500</t>
  </si>
  <si>
    <t>MIDLAND, SW. (DEVONIAN)</t>
  </si>
  <si>
    <t>61103200</t>
  </si>
  <si>
    <t>MID-MAR, EAST (FUSSELMAN)</t>
  </si>
  <si>
    <t>61143400</t>
  </si>
  <si>
    <t>MOONLIGHT (ELLENBERGER)</t>
  </si>
  <si>
    <t>62703200</t>
  </si>
  <si>
    <t>MOONLIGHT, WEST (ELLENBURGER)</t>
  </si>
  <si>
    <t>62708300</t>
  </si>
  <si>
    <t>PARKS, S. (BEND, LOWER)</t>
  </si>
  <si>
    <t>64242050</t>
  </si>
  <si>
    <t>PARKS (DEVONIAN)</t>
  </si>
  <si>
    <t>69233166</t>
  </si>
  <si>
    <t>PARKS, N. (PENN.)</t>
  </si>
  <si>
    <t>69235333</t>
  </si>
  <si>
    <t>PARSLEY (DEVONIAN)</t>
  </si>
  <si>
    <t>69440200</t>
  </si>
  <si>
    <t>PAUL PAGE (ATOKA)</t>
  </si>
  <si>
    <t>69765200</t>
  </si>
  <si>
    <t>PEGASUS (FUSSELMAN)</t>
  </si>
  <si>
    <t>70279375</t>
  </si>
  <si>
    <t>RK (DEVONIAN)</t>
  </si>
  <si>
    <t>74041100</t>
  </si>
  <si>
    <t>RAB (WOLFCAMP, LOWER)</t>
  </si>
  <si>
    <t>74089475</t>
  </si>
  <si>
    <t>ST. RITA (DEVONIAN)</t>
  </si>
  <si>
    <t>79730100</t>
  </si>
  <si>
    <t>SANTA ROSA (TANSIL)</t>
  </si>
  <si>
    <t>80925915</t>
  </si>
  <si>
    <t>SCHARBAUER RANCH (ATOKA)</t>
  </si>
  <si>
    <t>81407200</t>
  </si>
  <si>
    <t>SPRABERRY (PENN.)</t>
  </si>
  <si>
    <t>85280200</t>
  </si>
  <si>
    <t>SPRABERRY (TREND AREA CL. FK.)</t>
  </si>
  <si>
    <t>85280400</t>
  </si>
  <si>
    <t>SPRABERRY (TREND AREA DEV.)</t>
  </si>
  <si>
    <t>85280600</t>
  </si>
  <si>
    <t>STO-WIL (FUSSELMAN)</t>
  </si>
  <si>
    <t>86203500</t>
  </si>
  <si>
    <t>SWEETIE PECK (WOLFCAMP, LO.)</t>
  </si>
  <si>
    <t>87599852</t>
  </si>
  <si>
    <t>VIREY (CONSOLIDATED)</t>
  </si>
  <si>
    <t>93958100</t>
  </si>
  <si>
    <t>WAR-SAN (CONSOLIDATED)</t>
  </si>
  <si>
    <t>95108090</t>
  </si>
  <si>
    <t>WAR-SAN (SAN ANDRES)</t>
  </si>
  <si>
    <t>95108750</t>
  </si>
  <si>
    <t>WARFIELD (ELLENBURGER)</t>
  </si>
  <si>
    <t>95237284</t>
  </si>
  <si>
    <t>ZANT (SAN ANDRES)</t>
  </si>
  <si>
    <t>99649500</t>
  </si>
  <si>
    <t>Charts generated from workbook data</t>
  </si>
  <si>
    <t>Item</t>
  </si>
  <si>
    <t>Description</t>
  </si>
  <si>
    <t>Source</t>
  </si>
  <si>
    <t>Texas Railroad Commission Production Data Query CSV exports uploaded by user</t>
  </si>
  <si>
    <t>Created analysis files</t>
  </si>
  <si>
    <t>Workbook + PNG graphs</t>
  </si>
  <si>
    <t>Important limitation</t>
  </si>
  <si>
    <t>Aggregated RRC query exports do not include completion dates or lateral lengths, so this workbook does not perform well-level decline curve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</si>
</sst>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4" fontId="1" fillId="2" borderId="0" xfId="0" applyNumberFormat="1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Oil, Gas, and GOR Trends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Trends'!$B$1</c:f>
              <c:strCache>
                <c:ptCount val="1"/>
                <c:pt idx="0">
                  <c:v>Year</c:v>
                </c:pt>
              </c:strCache>
            </c:strRef>
          </c:tx>
          <c:cat>
            <c:strRef>
              <c:f>'Monthly Trends'!$A$2:$A$76</c:f>
              <c:strCache>
                <c:ptCount val="75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</c:strCache>
            </c:strRef>
          </c:cat>
          <c:val>
            <c:numRef>
              <c:f>'Monthly Trends'!$B$2:$B$76</c:f>
              <c:numCache>
                <c:formatCode>General</c:formatCode>
                <c:ptCount val="75"/>
                <c:pt idx="0">
                  <c:v>2020</c:v>
                </c:pt>
                <c:pt idx="1">
                  <c:v>2020</c:v>
                </c:pt>
                <c:pt idx="2">
                  <c:v>2020</c:v>
                </c:pt>
                <c:pt idx="3">
                  <c:v>2020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2020</c:v>
                </c:pt>
                <c:pt idx="9">
                  <c:v>2020</c:v>
                </c:pt>
                <c:pt idx="10">
                  <c:v>2020</c:v>
                </c:pt>
                <c:pt idx="11">
                  <c:v>2020</c:v>
                </c:pt>
                <c:pt idx="12">
                  <c:v>2021</c:v>
                </c:pt>
                <c:pt idx="13">
                  <c:v>2021</c:v>
                </c:pt>
                <c:pt idx="14">
                  <c:v>2021</c:v>
                </c:pt>
                <c:pt idx="15">
                  <c:v>2021</c:v>
                </c:pt>
                <c:pt idx="16">
                  <c:v>2021</c:v>
                </c:pt>
                <c:pt idx="17">
                  <c:v>2021</c:v>
                </c:pt>
                <c:pt idx="18">
                  <c:v>2021</c:v>
                </c:pt>
                <c:pt idx="19">
                  <c:v>2021</c:v>
                </c:pt>
                <c:pt idx="20">
                  <c:v>2021</c:v>
                </c:pt>
                <c:pt idx="21">
                  <c:v>2021</c:v>
                </c:pt>
                <c:pt idx="22">
                  <c:v>2021</c:v>
                </c:pt>
                <c:pt idx="23">
                  <c:v>2021</c:v>
                </c:pt>
                <c:pt idx="24">
                  <c:v>2022</c:v>
                </c:pt>
                <c:pt idx="25">
                  <c:v>2022</c:v>
                </c:pt>
                <c:pt idx="26">
                  <c:v>2022</c:v>
                </c:pt>
                <c:pt idx="27">
                  <c:v>2022</c:v>
                </c:pt>
                <c:pt idx="28">
                  <c:v>2022</c:v>
                </c:pt>
                <c:pt idx="29">
                  <c:v>2022</c:v>
                </c:pt>
                <c:pt idx="30">
                  <c:v>2022</c:v>
                </c:pt>
                <c:pt idx="31">
                  <c:v>2022</c:v>
                </c:pt>
                <c:pt idx="32">
                  <c:v>2022</c:v>
                </c:pt>
                <c:pt idx="33">
                  <c:v>2022</c:v>
                </c:pt>
                <c:pt idx="34">
                  <c:v>2022</c:v>
                </c:pt>
                <c:pt idx="35">
                  <c:v>2022</c:v>
                </c:pt>
                <c:pt idx="36">
                  <c:v>2023</c:v>
                </c:pt>
                <c:pt idx="37">
                  <c:v>2023</c:v>
                </c:pt>
                <c:pt idx="38">
                  <c:v>2023</c:v>
                </c:pt>
                <c:pt idx="39">
                  <c:v>2023</c:v>
                </c:pt>
                <c:pt idx="40">
                  <c:v>2023</c:v>
                </c:pt>
                <c:pt idx="41">
                  <c:v>2023</c:v>
                </c:pt>
                <c:pt idx="42">
                  <c:v>2023</c:v>
                </c:pt>
                <c:pt idx="43">
                  <c:v>2023</c:v>
                </c:pt>
                <c:pt idx="44">
                  <c:v>2023</c:v>
                </c:pt>
                <c:pt idx="45">
                  <c:v>2023</c:v>
                </c:pt>
                <c:pt idx="46">
                  <c:v>2023</c:v>
                </c:pt>
                <c:pt idx="47">
                  <c:v>2023</c:v>
                </c:pt>
                <c:pt idx="48">
                  <c:v>2024</c:v>
                </c:pt>
                <c:pt idx="49">
                  <c:v>2024</c:v>
                </c:pt>
                <c:pt idx="50">
                  <c:v>2024</c:v>
                </c:pt>
                <c:pt idx="51">
                  <c:v>2024</c:v>
                </c:pt>
                <c:pt idx="52">
                  <c:v>2024</c:v>
                </c:pt>
                <c:pt idx="53">
                  <c:v>2024</c:v>
                </c:pt>
                <c:pt idx="54">
                  <c:v>2024</c:v>
                </c:pt>
                <c:pt idx="55">
                  <c:v>2024</c:v>
                </c:pt>
                <c:pt idx="56">
                  <c:v>2024</c:v>
                </c:pt>
                <c:pt idx="57">
                  <c:v>2024</c:v>
                </c:pt>
                <c:pt idx="58">
                  <c:v>2024</c:v>
                </c:pt>
                <c:pt idx="59">
                  <c:v>2024</c:v>
                </c:pt>
                <c:pt idx="60">
                  <c:v>2025</c:v>
                </c:pt>
                <c:pt idx="61">
                  <c:v>2025</c:v>
                </c:pt>
                <c:pt idx="62">
                  <c:v>2025</c:v>
                </c:pt>
                <c:pt idx="63">
                  <c:v>2025</c:v>
                </c:pt>
                <c:pt idx="64">
                  <c:v>2025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  <c:pt idx="68">
                  <c:v>2025</c:v>
                </c:pt>
                <c:pt idx="69">
                  <c:v>2025</c:v>
                </c:pt>
                <c:pt idx="70">
                  <c:v>2025</c:v>
                </c:pt>
                <c:pt idx="71">
                  <c:v>2025</c:v>
                </c:pt>
                <c:pt idx="72">
                  <c:v>2026</c:v>
                </c:pt>
                <c:pt idx="73">
                  <c:v>2026</c:v>
                </c:pt>
                <c:pt idx="74">
                  <c:v>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1-4A14-9E98-1982BAEFEB70}"/>
            </c:ext>
          </c:extLst>
        </c:ser>
        <c:ser>
          <c:idx val="1"/>
          <c:order val="1"/>
          <c:tx>
            <c:strRef>
              <c:f>'Monthly Trends'!$C$1</c:f>
              <c:strCache>
                <c:ptCount val="1"/>
                <c:pt idx="0">
                  <c:v>Oil (BBL)</c:v>
                </c:pt>
              </c:strCache>
            </c:strRef>
          </c:tx>
          <c:cat>
            <c:strRef>
              <c:f>'Monthly Trends'!$A$2:$A$76</c:f>
              <c:strCache>
                <c:ptCount val="75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</c:strCache>
            </c:strRef>
          </c:cat>
          <c:val>
            <c:numRef>
              <c:f>'Monthly Trends'!$C$2:$C$76</c:f>
              <c:numCache>
                <c:formatCode>General</c:formatCode>
                <c:ptCount val="75"/>
                <c:pt idx="0">
                  <c:v>17030249</c:v>
                </c:pt>
                <c:pt idx="1">
                  <c:v>15772319</c:v>
                </c:pt>
                <c:pt idx="2">
                  <c:v>17266683</c:v>
                </c:pt>
                <c:pt idx="3">
                  <c:v>15963725</c:v>
                </c:pt>
                <c:pt idx="4">
                  <c:v>14639625</c:v>
                </c:pt>
                <c:pt idx="5">
                  <c:v>15936333</c:v>
                </c:pt>
                <c:pt idx="6">
                  <c:v>16656274</c:v>
                </c:pt>
                <c:pt idx="7">
                  <c:v>16088773</c:v>
                </c:pt>
                <c:pt idx="8">
                  <c:v>15105744</c:v>
                </c:pt>
                <c:pt idx="9">
                  <c:v>15536200</c:v>
                </c:pt>
                <c:pt idx="10">
                  <c:v>15360769</c:v>
                </c:pt>
                <c:pt idx="11">
                  <c:v>16319239</c:v>
                </c:pt>
                <c:pt idx="12">
                  <c:v>16387771</c:v>
                </c:pt>
                <c:pt idx="13">
                  <c:v>12020070</c:v>
                </c:pt>
                <c:pt idx="14">
                  <c:v>17963436</c:v>
                </c:pt>
                <c:pt idx="15">
                  <c:v>16573858</c:v>
                </c:pt>
                <c:pt idx="16">
                  <c:v>17014976</c:v>
                </c:pt>
                <c:pt idx="17">
                  <c:v>16103431</c:v>
                </c:pt>
                <c:pt idx="18">
                  <c:v>16571998</c:v>
                </c:pt>
                <c:pt idx="19">
                  <c:v>16657446</c:v>
                </c:pt>
                <c:pt idx="20">
                  <c:v>15971241</c:v>
                </c:pt>
                <c:pt idx="21">
                  <c:v>17525957</c:v>
                </c:pt>
                <c:pt idx="22">
                  <c:v>17718771</c:v>
                </c:pt>
                <c:pt idx="23">
                  <c:v>18634167</c:v>
                </c:pt>
                <c:pt idx="24">
                  <c:v>17874265</c:v>
                </c:pt>
                <c:pt idx="25">
                  <c:v>15566902</c:v>
                </c:pt>
                <c:pt idx="26">
                  <c:v>18348557</c:v>
                </c:pt>
                <c:pt idx="27">
                  <c:v>17981225</c:v>
                </c:pt>
                <c:pt idx="28">
                  <c:v>18267524</c:v>
                </c:pt>
                <c:pt idx="29">
                  <c:v>18175991</c:v>
                </c:pt>
                <c:pt idx="30">
                  <c:v>18710102</c:v>
                </c:pt>
                <c:pt idx="31">
                  <c:v>19224427</c:v>
                </c:pt>
                <c:pt idx="32">
                  <c:v>18776788</c:v>
                </c:pt>
                <c:pt idx="33">
                  <c:v>20193868</c:v>
                </c:pt>
                <c:pt idx="34">
                  <c:v>19516249</c:v>
                </c:pt>
                <c:pt idx="35">
                  <c:v>19042183</c:v>
                </c:pt>
                <c:pt idx="36">
                  <c:v>18970868</c:v>
                </c:pt>
                <c:pt idx="37">
                  <c:v>17239767</c:v>
                </c:pt>
                <c:pt idx="38">
                  <c:v>19545034</c:v>
                </c:pt>
                <c:pt idx="39">
                  <c:v>19170247</c:v>
                </c:pt>
                <c:pt idx="40">
                  <c:v>20270076</c:v>
                </c:pt>
                <c:pt idx="41">
                  <c:v>19924223</c:v>
                </c:pt>
                <c:pt idx="42">
                  <c:v>21304745</c:v>
                </c:pt>
                <c:pt idx="43">
                  <c:v>20376909</c:v>
                </c:pt>
                <c:pt idx="44">
                  <c:v>18210223</c:v>
                </c:pt>
                <c:pt idx="45">
                  <c:v>19608647</c:v>
                </c:pt>
                <c:pt idx="46">
                  <c:v>19493072</c:v>
                </c:pt>
                <c:pt idx="47">
                  <c:v>20404300</c:v>
                </c:pt>
                <c:pt idx="48">
                  <c:v>19080048</c:v>
                </c:pt>
                <c:pt idx="49">
                  <c:v>18376058</c:v>
                </c:pt>
                <c:pt idx="50">
                  <c:v>19523234</c:v>
                </c:pt>
                <c:pt idx="51">
                  <c:v>18718151</c:v>
                </c:pt>
                <c:pt idx="52">
                  <c:v>18754389</c:v>
                </c:pt>
                <c:pt idx="53">
                  <c:v>19084615</c:v>
                </c:pt>
                <c:pt idx="54">
                  <c:v>19742451</c:v>
                </c:pt>
                <c:pt idx="55">
                  <c:v>19857608</c:v>
                </c:pt>
                <c:pt idx="56">
                  <c:v>19219785</c:v>
                </c:pt>
                <c:pt idx="57">
                  <c:v>21060449</c:v>
                </c:pt>
                <c:pt idx="58">
                  <c:v>20512265</c:v>
                </c:pt>
                <c:pt idx="59">
                  <c:v>20833214</c:v>
                </c:pt>
                <c:pt idx="60">
                  <c:v>21033946</c:v>
                </c:pt>
                <c:pt idx="61">
                  <c:v>18792688</c:v>
                </c:pt>
                <c:pt idx="62">
                  <c:v>20452070</c:v>
                </c:pt>
                <c:pt idx="63">
                  <c:v>19766733</c:v>
                </c:pt>
                <c:pt idx="64">
                  <c:v>20303519</c:v>
                </c:pt>
                <c:pt idx="65">
                  <c:v>20198276</c:v>
                </c:pt>
                <c:pt idx="66">
                  <c:v>20594624</c:v>
                </c:pt>
                <c:pt idx="67">
                  <c:v>20405235</c:v>
                </c:pt>
                <c:pt idx="68">
                  <c:v>20065013</c:v>
                </c:pt>
                <c:pt idx="69">
                  <c:v>20503992</c:v>
                </c:pt>
                <c:pt idx="70">
                  <c:v>19644692</c:v>
                </c:pt>
                <c:pt idx="71">
                  <c:v>19931297</c:v>
                </c:pt>
                <c:pt idx="72">
                  <c:v>19020174</c:v>
                </c:pt>
                <c:pt idx="73">
                  <c:v>17870493</c:v>
                </c:pt>
                <c:pt idx="74">
                  <c:v>19110986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E1-4A14-9E98-1982BAEFEB70}"/>
            </c:ext>
          </c:extLst>
        </c:ser>
        <c:ser>
          <c:idx val="2"/>
          <c:order val="2"/>
          <c:tx>
            <c:strRef>
              <c:f>'Monthly Trends'!$D$1</c:f>
              <c:strCache>
                <c:ptCount val="1"/>
                <c:pt idx="0">
                  <c:v>Casinghead (MCF)</c:v>
                </c:pt>
              </c:strCache>
            </c:strRef>
          </c:tx>
          <c:cat>
            <c:strRef>
              <c:f>'Monthly Trends'!$A$2:$A$76</c:f>
              <c:strCache>
                <c:ptCount val="75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</c:strCache>
            </c:strRef>
          </c:cat>
          <c:val>
            <c:numRef>
              <c:f>'Monthly Trends'!$D$2:$D$76</c:f>
              <c:numCache>
                <c:formatCode>General</c:formatCode>
                <c:ptCount val="75"/>
                <c:pt idx="0">
                  <c:v>41328706</c:v>
                </c:pt>
                <c:pt idx="1">
                  <c:v>38415798</c:v>
                </c:pt>
                <c:pt idx="2">
                  <c:v>44144100</c:v>
                </c:pt>
                <c:pt idx="3">
                  <c:v>43160681</c:v>
                </c:pt>
                <c:pt idx="4">
                  <c:v>40822467</c:v>
                </c:pt>
                <c:pt idx="5">
                  <c:v>43309365</c:v>
                </c:pt>
                <c:pt idx="6">
                  <c:v>48469586</c:v>
                </c:pt>
                <c:pt idx="7">
                  <c:v>49640294</c:v>
                </c:pt>
                <c:pt idx="8">
                  <c:v>48817628</c:v>
                </c:pt>
                <c:pt idx="9">
                  <c:v>49882520</c:v>
                </c:pt>
                <c:pt idx="10">
                  <c:v>47967512</c:v>
                </c:pt>
                <c:pt idx="11">
                  <c:v>50057762</c:v>
                </c:pt>
                <c:pt idx="12">
                  <c:v>50366003</c:v>
                </c:pt>
                <c:pt idx="13">
                  <c:v>34068713</c:v>
                </c:pt>
                <c:pt idx="14">
                  <c:v>50396144</c:v>
                </c:pt>
                <c:pt idx="15">
                  <c:v>51328346</c:v>
                </c:pt>
                <c:pt idx="16">
                  <c:v>54367558</c:v>
                </c:pt>
                <c:pt idx="17">
                  <c:v>52536831</c:v>
                </c:pt>
                <c:pt idx="18">
                  <c:v>55581941</c:v>
                </c:pt>
                <c:pt idx="19">
                  <c:v>55471810</c:v>
                </c:pt>
                <c:pt idx="20">
                  <c:v>53620799</c:v>
                </c:pt>
                <c:pt idx="21">
                  <c:v>55836228</c:v>
                </c:pt>
                <c:pt idx="22">
                  <c:v>55591702</c:v>
                </c:pt>
                <c:pt idx="23">
                  <c:v>58416941</c:v>
                </c:pt>
                <c:pt idx="24">
                  <c:v>55908770</c:v>
                </c:pt>
                <c:pt idx="25">
                  <c:v>48858891</c:v>
                </c:pt>
                <c:pt idx="26">
                  <c:v>58445699</c:v>
                </c:pt>
                <c:pt idx="27">
                  <c:v>56822878</c:v>
                </c:pt>
                <c:pt idx="28">
                  <c:v>58961332</c:v>
                </c:pt>
                <c:pt idx="29">
                  <c:v>58198941</c:v>
                </c:pt>
                <c:pt idx="30">
                  <c:v>61101484</c:v>
                </c:pt>
                <c:pt idx="31">
                  <c:v>62801081</c:v>
                </c:pt>
                <c:pt idx="32">
                  <c:v>62180516</c:v>
                </c:pt>
                <c:pt idx="33">
                  <c:v>66004326</c:v>
                </c:pt>
                <c:pt idx="34">
                  <c:v>63814421</c:v>
                </c:pt>
                <c:pt idx="35">
                  <c:v>63830997</c:v>
                </c:pt>
                <c:pt idx="36">
                  <c:v>64308792</c:v>
                </c:pt>
                <c:pt idx="37">
                  <c:v>58402371</c:v>
                </c:pt>
                <c:pt idx="38">
                  <c:v>67498440</c:v>
                </c:pt>
                <c:pt idx="39">
                  <c:v>66727883</c:v>
                </c:pt>
                <c:pt idx="40">
                  <c:v>70481846</c:v>
                </c:pt>
                <c:pt idx="41">
                  <c:v>68258240</c:v>
                </c:pt>
                <c:pt idx="42">
                  <c:v>72007195</c:v>
                </c:pt>
                <c:pt idx="43">
                  <c:v>72844755</c:v>
                </c:pt>
                <c:pt idx="44">
                  <c:v>68983836</c:v>
                </c:pt>
                <c:pt idx="45">
                  <c:v>71648302</c:v>
                </c:pt>
                <c:pt idx="46">
                  <c:v>70939200</c:v>
                </c:pt>
                <c:pt idx="47">
                  <c:v>74120352</c:v>
                </c:pt>
                <c:pt idx="48">
                  <c:v>70120042</c:v>
                </c:pt>
                <c:pt idx="49">
                  <c:v>68815516</c:v>
                </c:pt>
                <c:pt idx="50">
                  <c:v>75092836</c:v>
                </c:pt>
                <c:pt idx="51">
                  <c:v>73131634</c:v>
                </c:pt>
                <c:pt idx="52">
                  <c:v>74156061</c:v>
                </c:pt>
                <c:pt idx="53">
                  <c:v>74129085</c:v>
                </c:pt>
                <c:pt idx="54">
                  <c:v>77870894</c:v>
                </c:pt>
                <c:pt idx="55">
                  <c:v>79309552</c:v>
                </c:pt>
                <c:pt idx="56">
                  <c:v>77575372</c:v>
                </c:pt>
                <c:pt idx="57">
                  <c:v>81754558</c:v>
                </c:pt>
                <c:pt idx="58">
                  <c:v>79102023</c:v>
                </c:pt>
                <c:pt idx="59">
                  <c:v>81775555</c:v>
                </c:pt>
                <c:pt idx="60">
                  <c:v>80481625</c:v>
                </c:pt>
                <c:pt idx="61">
                  <c:v>72018103</c:v>
                </c:pt>
                <c:pt idx="62">
                  <c:v>79688503</c:v>
                </c:pt>
                <c:pt idx="63">
                  <c:v>79293872</c:v>
                </c:pt>
                <c:pt idx="64">
                  <c:v>82748088</c:v>
                </c:pt>
                <c:pt idx="65">
                  <c:v>81995771</c:v>
                </c:pt>
                <c:pt idx="66">
                  <c:v>84669473</c:v>
                </c:pt>
                <c:pt idx="67">
                  <c:v>84820251</c:v>
                </c:pt>
                <c:pt idx="68">
                  <c:v>81878822</c:v>
                </c:pt>
                <c:pt idx="69">
                  <c:v>83567730</c:v>
                </c:pt>
                <c:pt idx="70">
                  <c:v>82136006</c:v>
                </c:pt>
                <c:pt idx="71">
                  <c:v>83875874</c:v>
                </c:pt>
                <c:pt idx="72">
                  <c:v>77704772</c:v>
                </c:pt>
                <c:pt idx="73">
                  <c:v>71829506</c:v>
                </c:pt>
                <c:pt idx="74">
                  <c:v>81574307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E1-4A14-9E98-1982BAEFEB70}"/>
            </c:ext>
          </c:extLst>
        </c:ser>
        <c:ser>
          <c:idx val="3"/>
          <c:order val="3"/>
          <c:tx>
            <c:strRef>
              <c:f>'Monthly Trends'!$E$1</c:f>
              <c:strCache>
                <c:ptCount val="1"/>
                <c:pt idx="0">
                  <c:v>GW Gas (MCF)</c:v>
                </c:pt>
              </c:strCache>
            </c:strRef>
          </c:tx>
          <c:cat>
            <c:strRef>
              <c:f>'Monthly Trends'!$A$2:$A$76</c:f>
              <c:strCache>
                <c:ptCount val="75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</c:strCache>
            </c:strRef>
          </c:cat>
          <c:val>
            <c:numRef>
              <c:f>'Monthly Trends'!$E$2:$E$76</c:f>
              <c:numCache>
                <c:formatCode>General</c:formatCode>
                <c:ptCount val="75"/>
                <c:pt idx="0">
                  <c:v>321266</c:v>
                </c:pt>
                <c:pt idx="1">
                  <c:v>312327</c:v>
                </c:pt>
                <c:pt idx="2">
                  <c:v>370431</c:v>
                </c:pt>
                <c:pt idx="3">
                  <c:v>339924</c:v>
                </c:pt>
                <c:pt idx="4">
                  <c:v>337548</c:v>
                </c:pt>
                <c:pt idx="5">
                  <c:v>300023</c:v>
                </c:pt>
                <c:pt idx="6">
                  <c:v>315319</c:v>
                </c:pt>
                <c:pt idx="7">
                  <c:v>327945</c:v>
                </c:pt>
                <c:pt idx="8">
                  <c:v>304174</c:v>
                </c:pt>
                <c:pt idx="9">
                  <c:v>296650</c:v>
                </c:pt>
                <c:pt idx="10">
                  <c:v>273196</c:v>
                </c:pt>
                <c:pt idx="11">
                  <c:v>287381</c:v>
                </c:pt>
                <c:pt idx="12">
                  <c:v>260263</c:v>
                </c:pt>
                <c:pt idx="13">
                  <c:v>205456</c:v>
                </c:pt>
                <c:pt idx="14">
                  <c:v>307078</c:v>
                </c:pt>
                <c:pt idx="15">
                  <c:v>303272</c:v>
                </c:pt>
                <c:pt idx="16">
                  <c:v>303031</c:v>
                </c:pt>
                <c:pt idx="17">
                  <c:v>272736</c:v>
                </c:pt>
                <c:pt idx="18">
                  <c:v>299071</c:v>
                </c:pt>
                <c:pt idx="19">
                  <c:v>292285</c:v>
                </c:pt>
                <c:pt idx="20">
                  <c:v>284765</c:v>
                </c:pt>
                <c:pt idx="21">
                  <c:v>293483</c:v>
                </c:pt>
                <c:pt idx="22">
                  <c:v>286335</c:v>
                </c:pt>
                <c:pt idx="23">
                  <c:v>277909</c:v>
                </c:pt>
                <c:pt idx="24">
                  <c:v>297714</c:v>
                </c:pt>
                <c:pt idx="25">
                  <c:v>240974</c:v>
                </c:pt>
                <c:pt idx="26">
                  <c:v>270509</c:v>
                </c:pt>
                <c:pt idx="27">
                  <c:v>263707</c:v>
                </c:pt>
                <c:pt idx="28">
                  <c:v>278714</c:v>
                </c:pt>
                <c:pt idx="29">
                  <c:v>245013</c:v>
                </c:pt>
                <c:pt idx="30">
                  <c:v>263543</c:v>
                </c:pt>
                <c:pt idx="31">
                  <c:v>273784</c:v>
                </c:pt>
                <c:pt idx="32">
                  <c:v>258747</c:v>
                </c:pt>
                <c:pt idx="33">
                  <c:v>241653</c:v>
                </c:pt>
                <c:pt idx="34">
                  <c:v>226332</c:v>
                </c:pt>
                <c:pt idx="35">
                  <c:v>223919</c:v>
                </c:pt>
                <c:pt idx="36">
                  <c:v>203507</c:v>
                </c:pt>
                <c:pt idx="37">
                  <c:v>187385</c:v>
                </c:pt>
                <c:pt idx="38">
                  <c:v>244432</c:v>
                </c:pt>
                <c:pt idx="39">
                  <c:v>241859</c:v>
                </c:pt>
                <c:pt idx="40">
                  <c:v>254774</c:v>
                </c:pt>
                <c:pt idx="41">
                  <c:v>243081</c:v>
                </c:pt>
                <c:pt idx="42">
                  <c:v>277641</c:v>
                </c:pt>
                <c:pt idx="43">
                  <c:v>249406</c:v>
                </c:pt>
                <c:pt idx="44">
                  <c:v>267487</c:v>
                </c:pt>
                <c:pt idx="45">
                  <c:v>271652</c:v>
                </c:pt>
                <c:pt idx="46">
                  <c:v>213100</c:v>
                </c:pt>
                <c:pt idx="47">
                  <c:v>205060</c:v>
                </c:pt>
                <c:pt idx="48">
                  <c:v>209527</c:v>
                </c:pt>
                <c:pt idx="49">
                  <c:v>210857</c:v>
                </c:pt>
                <c:pt idx="50">
                  <c:v>228868</c:v>
                </c:pt>
                <c:pt idx="51">
                  <c:v>218101</c:v>
                </c:pt>
                <c:pt idx="52">
                  <c:v>225151</c:v>
                </c:pt>
                <c:pt idx="53">
                  <c:v>190933</c:v>
                </c:pt>
                <c:pt idx="54">
                  <c:v>171202</c:v>
                </c:pt>
                <c:pt idx="55">
                  <c:v>221027</c:v>
                </c:pt>
                <c:pt idx="56">
                  <c:v>183537</c:v>
                </c:pt>
                <c:pt idx="57">
                  <c:v>212378</c:v>
                </c:pt>
                <c:pt idx="58">
                  <c:v>183652</c:v>
                </c:pt>
                <c:pt idx="59">
                  <c:v>185890</c:v>
                </c:pt>
                <c:pt idx="60">
                  <c:v>197220</c:v>
                </c:pt>
                <c:pt idx="61">
                  <c:v>169250</c:v>
                </c:pt>
                <c:pt idx="62">
                  <c:v>167955</c:v>
                </c:pt>
                <c:pt idx="63">
                  <c:v>252333</c:v>
                </c:pt>
                <c:pt idx="64">
                  <c:v>380877</c:v>
                </c:pt>
                <c:pt idx="65">
                  <c:v>479378</c:v>
                </c:pt>
                <c:pt idx="66">
                  <c:v>581260</c:v>
                </c:pt>
                <c:pt idx="67">
                  <c:v>693893</c:v>
                </c:pt>
                <c:pt idx="68">
                  <c:v>685108</c:v>
                </c:pt>
                <c:pt idx="69">
                  <c:v>701114</c:v>
                </c:pt>
                <c:pt idx="70">
                  <c:v>536741</c:v>
                </c:pt>
                <c:pt idx="71">
                  <c:v>585007</c:v>
                </c:pt>
                <c:pt idx="72">
                  <c:v>544357</c:v>
                </c:pt>
                <c:pt idx="73">
                  <c:v>471787</c:v>
                </c:pt>
                <c:pt idx="74">
                  <c:v>496078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E1-4A14-9E98-1982BAEFEB70}"/>
            </c:ext>
          </c:extLst>
        </c:ser>
        <c:ser>
          <c:idx val="4"/>
          <c:order val="4"/>
          <c:tx>
            <c:strRef>
              <c:f>'Monthly Trends'!$F$1</c:f>
              <c:strCache>
                <c:ptCount val="1"/>
                <c:pt idx="0">
                  <c:v>Gas Total (MCF)</c:v>
                </c:pt>
              </c:strCache>
            </c:strRef>
          </c:tx>
          <c:cat>
            <c:strRef>
              <c:f>'Monthly Trends'!$A$2:$A$76</c:f>
              <c:strCache>
                <c:ptCount val="75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</c:strCache>
            </c:strRef>
          </c:cat>
          <c:val>
            <c:numRef>
              <c:f>'Monthly Trends'!$F$2:$F$76</c:f>
              <c:numCache>
                <c:formatCode>General</c:formatCode>
                <c:ptCount val="75"/>
                <c:pt idx="0">
                  <c:v>41649972</c:v>
                </c:pt>
                <c:pt idx="1">
                  <c:v>38728125</c:v>
                </c:pt>
                <c:pt idx="2">
                  <c:v>44514531</c:v>
                </c:pt>
                <c:pt idx="3">
                  <c:v>43500605</c:v>
                </c:pt>
                <c:pt idx="4">
                  <c:v>41160015</c:v>
                </c:pt>
                <c:pt idx="5">
                  <c:v>43609388</c:v>
                </c:pt>
                <c:pt idx="6">
                  <c:v>48784905</c:v>
                </c:pt>
                <c:pt idx="7">
                  <c:v>49968239</c:v>
                </c:pt>
                <c:pt idx="8">
                  <c:v>49121802</c:v>
                </c:pt>
                <c:pt idx="9">
                  <c:v>50179170</c:v>
                </c:pt>
                <c:pt idx="10">
                  <c:v>48240708</c:v>
                </c:pt>
                <c:pt idx="11">
                  <c:v>50345143</c:v>
                </c:pt>
                <c:pt idx="12">
                  <c:v>50626266</c:v>
                </c:pt>
                <c:pt idx="13">
                  <c:v>34274169</c:v>
                </c:pt>
                <c:pt idx="14">
                  <c:v>50703222</c:v>
                </c:pt>
                <c:pt idx="15">
                  <c:v>51631618</c:v>
                </c:pt>
                <c:pt idx="16">
                  <c:v>54670589</c:v>
                </c:pt>
                <c:pt idx="17">
                  <c:v>52809567</c:v>
                </c:pt>
                <c:pt idx="18">
                  <c:v>55881012</c:v>
                </c:pt>
                <c:pt idx="19">
                  <c:v>55764095</c:v>
                </c:pt>
                <c:pt idx="20">
                  <c:v>53905564</c:v>
                </c:pt>
                <c:pt idx="21">
                  <c:v>56129711</c:v>
                </c:pt>
                <c:pt idx="22">
                  <c:v>55878037</c:v>
                </c:pt>
                <c:pt idx="23">
                  <c:v>58694850</c:v>
                </c:pt>
                <c:pt idx="24">
                  <c:v>56206484</c:v>
                </c:pt>
                <c:pt idx="25">
                  <c:v>49099865</c:v>
                </c:pt>
                <c:pt idx="26">
                  <c:v>58716208</c:v>
                </c:pt>
                <c:pt idx="27">
                  <c:v>57086585</c:v>
                </c:pt>
                <c:pt idx="28">
                  <c:v>59240046</c:v>
                </c:pt>
                <c:pt idx="29">
                  <c:v>58443954</c:v>
                </c:pt>
                <c:pt idx="30">
                  <c:v>61365027</c:v>
                </c:pt>
                <c:pt idx="31">
                  <c:v>63074865</c:v>
                </c:pt>
                <c:pt idx="32">
                  <c:v>62439263</c:v>
                </c:pt>
                <c:pt idx="33">
                  <c:v>66245979</c:v>
                </c:pt>
                <c:pt idx="34">
                  <c:v>64040753</c:v>
                </c:pt>
                <c:pt idx="35">
                  <c:v>64054916</c:v>
                </c:pt>
                <c:pt idx="36">
                  <c:v>64512299</c:v>
                </c:pt>
                <c:pt idx="37">
                  <c:v>58589756</c:v>
                </c:pt>
                <c:pt idx="38">
                  <c:v>67742872</c:v>
                </c:pt>
                <c:pt idx="39">
                  <c:v>66969742</c:v>
                </c:pt>
                <c:pt idx="40">
                  <c:v>70736620</c:v>
                </c:pt>
                <c:pt idx="41">
                  <c:v>68501321</c:v>
                </c:pt>
                <c:pt idx="42">
                  <c:v>72284836</c:v>
                </c:pt>
                <c:pt idx="43">
                  <c:v>73094161</c:v>
                </c:pt>
                <c:pt idx="44">
                  <c:v>69251323</c:v>
                </c:pt>
                <c:pt idx="45">
                  <c:v>71919954</c:v>
                </c:pt>
                <c:pt idx="46">
                  <c:v>71152300</c:v>
                </c:pt>
                <c:pt idx="47">
                  <c:v>74325412</c:v>
                </c:pt>
                <c:pt idx="48">
                  <c:v>70329569</c:v>
                </c:pt>
                <c:pt idx="49">
                  <c:v>69026373</c:v>
                </c:pt>
                <c:pt idx="50">
                  <c:v>75321704</c:v>
                </c:pt>
                <c:pt idx="51">
                  <c:v>73349735</c:v>
                </c:pt>
                <c:pt idx="52">
                  <c:v>74381212</c:v>
                </c:pt>
                <c:pt idx="53">
                  <c:v>74320018</c:v>
                </c:pt>
                <c:pt idx="54">
                  <c:v>78042096</c:v>
                </c:pt>
                <c:pt idx="55">
                  <c:v>79530579</c:v>
                </c:pt>
                <c:pt idx="56">
                  <c:v>77758909</c:v>
                </c:pt>
                <c:pt idx="57">
                  <c:v>81966936</c:v>
                </c:pt>
                <c:pt idx="58">
                  <c:v>79285675</c:v>
                </c:pt>
                <c:pt idx="59">
                  <c:v>81961445</c:v>
                </c:pt>
                <c:pt idx="60">
                  <c:v>80678845</c:v>
                </c:pt>
                <c:pt idx="61">
                  <c:v>72187353</c:v>
                </c:pt>
                <c:pt idx="62">
                  <c:v>79856458</c:v>
                </c:pt>
                <c:pt idx="63">
                  <c:v>79546205</c:v>
                </c:pt>
                <c:pt idx="64">
                  <c:v>83128965</c:v>
                </c:pt>
                <c:pt idx="65">
                  <c:v>82475149</c:v>
                </c:pt>
                <c:pt idx="66">
                  <c:v>85250733</c:v>
                </c:pt>
                <c:pt idx="67">
                  <c:v>85514144</c:v>
                </c:pt>
                <c:pt idx="68">
                  <c:v>82563930</c:v>
                </c:pt>
                <c:pt idx="69">
                  <c:v>84268844</c:v>
                </c:pt>
                <c:pt idx="70">
                  <c:v>82672747</c:v>
                </c:pt>
                <c:pt idx="71">
                  <c:v>84460881</c:v>
                </c:pt>
                <c:pt idx="72">
                  <c:v>78249129</c:v>
                </c:pt>
                <c:pt idx="73">
                  <c:v>72301293</c:v>
                </c:pt>
                <c:pt idx="74">
                  <c:v>82070385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E1-4A14-9E98-1982BAEFEB70}"/>
            </c:ext>
          </c:extLst>
        </c:ser>
        <c:ser>
          <c:idx val="5"/>
          <c:order val="5"/>
          <c:tx>
            <c:strRef>
              <c:f>'Monthly Trends'!$G$1</c:f>
              <c:strCache>
                <c:ptCount val="1"/>
                <c:pt idx="0">
                  <c:v>Condensate (BBL)</c:v>
                </c:pt>
              </c:strCache>
            </c:strRef>
          </c:tx>
          <c:cat>
            <c:strRef>
              <c:f>'Monthly Trends'!$A$2:$A$76</c:f>
              <c:strCache>
                <c:ptCount val="75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</c:strCache>
            </c:strRef>
          </c:cat>
          <c:val>
            <c:numRef>
              <c:f>'Monthly Trends'!$G$2:$G$76</c:f>
              <c:numCache>
                <c:formatCode>General</c:formatCode>
                <c:ptCount val="75"/>
                <c:pt idx="0">
                  <c:v>6888</c:v>
                </c:pt>
                <c:pt idx="1">
                  <c:v>6636</c:v>
                </c:pt>
                <c:pt idx="2">
                  <c:v>7230</c:v>
                </c:pt>
                <c:pt idx="3">
                  <c:v>6056</c:v>
                </c:pt>
                <c:pt idx="4">
                  <c:v>5265</c:v>
                </c:pt>
                <c:pt idx="5">
                  <c:v>4791</c:v>
                </c:pt>
                <c:pt idx="6">
                  <c:v>4996</c:v>
                </c:pt>
                <c:pt idx="7">
                  <c:v>5572</c:v>
                </c:pt>
                <c:pt idx="8">
                  <c:v>5215</c:v>
                </c:pt>
                <c:pt idx="9">
                  <c:v>5165</c:v>
                </c:pt>
                <c:pt idx="10">
                  <c:v>4596</c:v>
                </c:pt>
                <c:pt idx="11">
                  <c:v>6097</c:v>
                </c:pt>
                <c:pt idx="12">
                  <c:v>5204</c:v>
                </c:pt>
                <c:pt idx="13">
                  <c:v>4195</c:v>
                </c:pt>
                <c:pt idx="14">
                  <c:v>5807</c:v>
                </c:pt>
                <c:pt idx="15">
                  <c:v>6118</c:v>
                </c:pt>
                <c:pt idx="16">
                  <c:v>6653</c:v>
                </c:pt>
                <c:pt idx="17">
                  <c:v>6097</c:v>
                </c:pt>
                <c:pt idx="18">
                  <c:v>6121</c:v>
                </c:pt>
                <c:pt idx="19">
                  <c:v>6277</c:v>
                </c:pt>
                <c:pt idx="20">
                  <c:v>4920</c:v>
                </c:pt>
                <c:pt idx="21">
                  <c:v>5575</c:v>
                </c:pt>
                <c:pt idx="22">
                  <c:v>6320</c:v>
                </c:pt>
                <c:pt idx="23">
                  <c:v>6290</c:v>
                </c:pt>
                <c:pt idx="24">
                  <c:v>6232</c:v>
                </c:pt>
                <c:pt idx="25">
                  <c:v>5279</c:v>
                </c:pt>
                <c:pt idx="26">
                  <c:v>5729</c:v>
                </c:pt>
                <c:pt idx="27">
                  <c:v>6425</c:v>
                </c:pt>
                <c:pt idx="28">
                  <c:v>5344</c:v>
                </c:pt>
                <c:pt idx="29">
                  <c:v>4242</c:v>
                </c:pt>
                <c:pt idx="30">
                  <c:v>4654</c:v>
                </c:pt>
                <c:pt idx="31">
                  <c:v>5739</c:v>
                </c:pt>
                <c:pt idx="32">
                  <c:v>4839</c:v>
                </c:pt>
                <c:pt idx="33">
                  <c:v>4635</c:v>
                </c:pt>
                <c:pt idx="34">
                  <c:v>4974</c:v>
                </c:pt>
                <c:pt idx="35">
                  <c:v>5167</c:v>
                </c:pt>
                <c:pt idx="36">
                  <c:v>4943</c:v>
                </c:pt>
                <c:pt idx="37">
                  <c:v>3892</c:v>
                </c:pt>
                <c:pt idx="38">
                  <c:v>4678</c:v>
                </c:pt>
                <c:pt idx="39">
                  <c:v>5222</c:v>
                </c:pt>
                <c:pt idx="40">
                  <c:v>4956</c:v>
                </c:pt>
                <c:pt idx="41">
                  <c:v>4321</c:v>
                </c:pt>
                <c:pt idx="42">
                  <c:v>5231</c:v>
                </c:pt>
                <c:pt idx="43">
                  <c:v>4744</c:v>
                </c:pt>
                <c:pt idx="44">
                  <c:v>5498</c:v>
                </c:pt>
                <c:pt idx="45">
                  <c:v>5654</c:v>
                </c:pt>
                <c:pt idx="46">
                  <c:v>5126</c:v>
                </c:pt>
                <c:pt idx="47">
                  <c:v>4954</c:v>
                </c:pt>
                <c:pt idx="48">
                  <c:v>5619</c:v>
                </c:pt>
                <c:pt idx="49">
                  <c:v>4694</c:v>
                </c:pt>
                <c:pt idx="50">
                  <c:v>4454</c:v>
                </c:pt>
                <c:pt idx="51">
                  <c:v>3854</c:v>
                </c:pt>
                <c:pt idx="52">
                  <c:v>4612</c:v>
                </c:pt>
                <c:pt idx="53">
                  <c:v>3516</c:v>
                </c:pt>
                <c:pt idx="54">
                  <c:v>2872</c:v>
                </c:pt>
                <c:pt idx="55">
                  <c:v>4571</c:v>
                </c:pt>
                <c:pt idx="56">
                  <c:v>3786</c:v>
                </c:pt>
                <c:pt idx="57">
                  <c:v>4654</c:v>
                </c:pt>
                <c:pt idx="58">
                  <c:v>4069</c:v>
                </c:pt>
                <c:pt idx="59">
                  <c:v>4100</c:v>
                </c:pt>
                <c:pt idx="60">
                  <c:v>4462</c:v>
                </c:pt>
                <c:pt idx="61">
                  <c:v>3342</c:v>
                </c:pt>
                <c:pt idx="62">
                  <c:v>2247</c:v>
                </c:pt>
                <c:pt idx="63">
                  <c:v>42184</c:v>
                </c:pt>
                <c:pt idx="64">
                  <c:v>59497</c:v>
                </c:pt>
                <c:pt idx="65">
                  <c:v>79837</c:v>
                </c:pt>
                <c:pt idx="66">
                  <c:v>88296</c:v>
                </c:pt>
                <c:pt idx="67">
                  <c:v>106899</c:v>
                </c:pt>
                <c:pt idx="68">
                  <c:v>114599</c:v>
                </c:pt>
                <c:pt idx="69">
                  <c:v>103520</c:v>
                </c:pt>
                <c:pt idx="70">
                  <c:v>80284</c:v>
                </c:pt>
                <c:pt idx="71">
                  <c:v>79713</c:v>
                </c:pt>
                <c:pt idx="72">
                  <c:v>69899</c:v>
                </c:pt>
                <c:pt idx="73">
                  <c:v>38570</c:v>
                </c:pt>
                <c:pt idx="74">
                  <c:v>80249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E1-4A14-9E98-1982BAEFEB70}"/>
            </c:ext>
          </c:extLst>
        </c:ser>
        <c:ser>
          <c:idx val="6"/>
          <c:order val="6"/>
          <c:tx>
            <c:strRef>
              <c:f>'Monthly Trends'!$H$1</c:f>
              <c:strCache>
                <c:ptCount val="1"/>
                <c:pt idx="0">
                  <c:v>GOR (MCF/BBL)</c:v>
                </c:pt>
              </c:strCache>
            </c:strRef>
          </c:tx>
          <c:cat>
            <c:strRef>
              <c:f>'Monthly Trends'!$A$2:$A$76</c:f>
              <c:strCache>
                <c:ptCount val="75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</c:strCache>
            </c:strRef>
          </c:cat>
          <c:val>
            <c:numRef>
              <c:f>'Monthly Trends'!$H$2:$H$76</c:f>
              <c:numCache>
                <c:formatCode>General</c:formatCode>
                <c:ptCount val="75"/>
                <c:pt idx="0">
                  <c:v>2.4456466843203524</c:v>
                </c:pt>
                <c:pt idx="1">
                  <c:v>2.4554490053111402</c:v>
                </c:pt>
                <c:pt idx="2">
                  <c:v>2.5780592022219904</c:v>
                </c:pt>
                <c:pt idx="3">
                  <c:v>2.7249658209471788</c:v>
                </c:pt>
                <c:pt idx="4">
                  <c:v>2.8115484515484517</c:v>
                </c:pt>
                <c:pt idx="5">
                  <c:v>2.736475699899092</c:v>
                </c:pt>
                <c:pt idx="6">
                  <c:v>2.9289206577653562</c:v>
                </c:pt>
                <c:pt idx="7">
                  <c:v>3.1057830824016226</c:v>
                </c:pt>
                <c:pt idx="8">
                  <c:v>3.2518624703291676</c:v>
                </c:pt>
                <c:pt idx="9">
                  <c:v>3.2298226078449042</c:v>
                </c:pt>
                <c:pt idx="10">
                  <c:v>3.1405138635962824</c:v>
                </c:pt>
                <c:pt idx="11">
                  <c:v>3.0850178124114733</c:v>
                </c:pt>
                <c:pt idx="12">
                  <c:v>3.089271018004828</c:v>
                </c:pt>
                <c:pt idx="13">
                  <c:v>2.8514117638250025</c:v>
                </c:pt>
                <c:pt idx="14">
                  <c:v>2.8225792660156999</c:v>
                </c:pt>
                <c:pt idx="15">
                  <c:v>3.1152443806384729</c:v>
                </c:pt>
                <c:pt idx="16">
                  <c:v>3.2130864598339723</c:v>
                </c:pt>
                <c:pt idx="17">
                  <c:v>3.2793984710463255</c:v>
                </c:pt>
                <c:pt idx="18">
                  <c:v>3.3720141650994648</c:v>
                </c:pt>
                <c:pt idx="19">
                  <c:v>3.3476977803199843</c:v>
                </c:pt>
                <c:pt idx="20">
                  <c:v>3.3751643970559333</c:v>
                </c:pt>
                <c:pt idx="21">
                  <c:v>3.2026616863204675</c:v>
                </c:pt>
                <c:pt idx="22">
                  <c:v>3.1536068161838089</c:v>
                </c:pt>
                <c:pt idx="23">
                  <c:v>3.1498510236599255</c:v>
                </c:pt>
                <c:pt idx="24">
                  <c:v>3.1445479856094782</c:v>
                </c:pt>
                <c:pt idx="25">
                  <c:v>3.1541192332295789</c:v>
                </c:pt>
                <c:pt idx="26">
                  <c:v>3.2000449953639407</c:v>
                </c:pt>
                <c:pt idx="27">
                  <c:v>3.1747884251490097</c:v>
                </c:pt>
                <c:pt idx="28">
                  <c:v>3.2429160076647499</c:v>
                </c:pt>
                <c:pt idx="29">
                  <c:v>3.2154480050083651</c:v>
                </c:pt>
                <c:pt idx="30">
                  <c:v>3.2797804629819765</c:v>
                </c:pt>
                <c:pt idx="31">
                  <c:v>3.2809750324417992</c:v>
                </c:pt>
                <c:pt idx="32">
                  <c:v>3.3253431311042121</c:v>
                </c:pt>
                <c:pt idx="33">
                  <c:v>3.2804997536876046</c:v>
                </c:pt>
                <c:pt idx="34">
                  <c:v>3.2814068420627347</c:v>
                </c:pt>
                <c:pt idx="35">
                  <c:v>3.3638431055935132</c:v>
                </c:pt>
                <c:pt idx="36">
                  <c:v>3.4005981697832697</c:v>
                </c:pt>
                <c:pt idx="37">
                  <c:v>3.3985236575413111</c:v>
                </c:pt>
                <c:pt idx="38">
                  <c:v>3.4659889565809912</c:v>
                </c:pt>
                <c:pt idx="39">
                  <c:v>3.4934209246234542</c:v>
                </c:pt>
                <c:pt idx="40">
                  <c:v>3.4897066986823333</c:v>
                </c:pt>
                <c:pt idx="41">
                  <c:v>3.4380924666422374</c:v>
                </c:pt>
                <c:pt idx="42">
                  <c:v>3.3928984364750669</c:v>
                </c:pt>
                <c:pt idx="43">
                  <c:v>3.5871073969069598</c:v>
                </c:pt>
                <c:pt idx="44">
                  <c:v>3.8028816560895491</c:v>
                </c:pt>
                <c:pt idx="45">
                  <c:v>3.6677672865445534</c:v>
                </c:pt>
                <c:pt idx="46">
                  <c:v>3.6501327240775594</c:v>
                </c:pt>
                <c:pt idx="47">
                  <c:v>3.6426347387560467</c:v>
                </c:pt>
                <c:pt idx="48">
                  <c:v>3.6860268380876189</c:v>
                </c:pt>
                <c:pt idx="49">
                  <c:v>3.7563210238017315</c:v>
                </c:pt>
                <c:pt idx="50">
                  <c:v>3.8580546645089639</c:v>
                </c:pt>
                <c:pt idx="51">
                  <c:v>3.9186421244277811</c:v>
                </c:pt>
                <c:pt idx="52">
                  <c:v>3.9660695957623573</c:v>
                </c:pt>
                <c:pt idx="53">
                  <c:v>3.894237216731907</c:v>
                </c:pt>
                <c:pt idx="54">
                  <c:v>3.9530094819533805</c:v>
                </c:pt>
                <c:pt idx="55">
                  <c:v>4.0050432559651696</c:v>
                </c:pt>
                <c:pt idx="56">
                  <c:v>4.0457741332694406</c:v>
                </c:pt>
                <c:pt idx="57">
                  <c:v>3.8919842592149863</c:v>
                </c:pt>
                <c:pt idx="58">
                  <c:v>3.8652813329000968</c:v>
                </c:pt>
                <c:pt idx="59">
                  <c:v>3.9341718949366142</c:v>
                </c:pt>
                <c:pt idx="60">
                  <c:v>3.8356495257713412</c:v>
                </c:pt>
                <c:pt idx="61">
                  <c:v>3.8412468189755504</c:v>
                </c:pt>
                <c:pt idx="62">
                  <c:v>3.9045660414813756</c:v>
                </c:pt>
                <c:pt idx="63">
                  <c:v>4.0242464447716273</c:v>
                </c:pt>
                <c:pt idx="64">
                  <c:v>4.0943131582264138</c:v>
                </c:pt>
                <c:pt idx="65">
                  <c:v>4.0832766618299505</c:v>
                </c:pt>
                <c:pt idx="66">
                  <c:v>4.1394653769838188</c:v>
                </c:pt>
                <c:pt idx="67">
                  <c:v>4.190794372130485</c:v>
                </c:pt>
                <c:pt idx="68">
                  <c:v>4.114820658227333</c:v>
                </c:pt>
                <c:pt idx="69">
                  <c:v>4.1098749940987105</c:v>
                </c:pt>
                <c:pt idx="70">
                  <c:v>4.2084012821376886</c:v>
                </c:pt>
                <c:pt idx="71">
                  <c:v>4.2376008445411255</c:v>
                </c:pt>
                <c:pt idx="72">
                  <c:v>4.1140070011977805</c:v>
                </c:pt>
                <c:pt idx="73">
                  <c:v>4.0458476998927786</c:v>
                </c:pt>
                <c:pt idx="74">
                  <c:v>4.2944087238617623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E1-4A14-9E98-1982BAEFE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Operators by Oil Production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Operator No.</c:v>
          </c:tx>
          <c:invertIfNegative val="1"/>
          <c:cat>
            <c:strRef>
              <c:f>'Operator Report'!$B$2:$B$11</c:f>
              <c:strCache>
                <c:ptCount val="10"/>
                <c:pt idx="0">
                  <c:v>PIONEER NATURAL RES. USA, INC.</c:v>
                </c:pt>
                <c:pt idx="1">
                  <c:v>ENDEAVOR ENERGY RESOURCES L.P.</c:v>
                </c:pt>
                <c:pt idx="2">
                  <c:v>XTO ENERGY INC.</c:v>
                </c:pt>
                <c:pt idx="3">
                  <c:v>CHEVRON U. S. A. INC.</c:v>
                </c:pt>
                <c:pt idx="4">
                  <c:v>DIAMONDBACK E&amp;P LLC</c:v>
                </c:pt>
                <c:pt idx="5">
                  <c:v>COG OPERATING LLC</c:v>
                </c:pt>
                <c:pt idx="6">
                  <c:v>APACHE CORPORATION</c:v>
                </c:pt>
                <c:pt idx="7">
                  <c:v>OVINTIV USA INC.</c:v>
                </c:pt>
                <c:pt idx="8">
                  <c:v>CROWNQUEST OPERATING, LLC</c:v>
                </c:pt>
                <c:pt idx="9">
                  <c:v>PERMIAN DEEP ROCK OIL CO., LLC</c:v>
                </c:pt>
              </c:strCache>
            </c:strRef>
          </c:cat>
          <c:val>
            <c:numRef>
              <c:f>'Operator Report'!$C$2:$C$11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5-4CC0-A218-82DAA0E07A99}"/>
            </c:ext>
          </c:extLst>
        </c:ser>
        <c:ser>
          <c:idx val="1"/>
          <c:order val="1"/>
          <c:tx>
            <c:v>Oil (BBL)</c:v>
          </c:tx>
          <c:invertIfNegative val="1"/>
          <c:cat>
            <c:strRef>
              <c:f>'Operator Report'!$B$2:$B$11</c:f>
              <c:strCache>
                <c:ptCount val="10"/>
                <c:pt idx="0">
                  <c:v>PIONEER NATURAL RES. USA, INC.</c:v>
                </c:pt>
                <c:pt idx="1">
                  <c:v>ENDEAVOR ENERGY RESOURCES L.P.</c:v>
                </c:pt>
                <c:pt idx="2">
                  <c:v>XTO ENERGY INC.</c:v>
                </c:pt>
                <c:pt idx="3">
                  <c:v>CHEVRON U. S. A. INC.</c:v>
                </c:pt>
                <c:pt idx="4">
                  <c:v>DIAMONDBACK E&amp;P LLC</c:v>
                </c:pt>
                <c:pt idx="5">
                  <c:v>COG OPERATING LLC</c:v>
                </c:pt>
                <c:pt idx="6">
                  <c:v>APACHE CORPORATION</c:v>
                </c:pt>
                <c:pt idx="7">
                  <c:v>OVINTIV USA INC.</c:v>
                </c:pt>
                <c:pt idx="8">
                  <c:v>CROWNQUEST OPERATING, LLC</c:v>
                </c:pt>
                <c:pt idx="9">
                  <c:v>PERMIAN DEEP ROCK OIL CO., LLC</c:v>
                </c:pt>
              </c:strCache>
            </c:strRef>
          </c:cat>
          <c:val>
            <c:numRef>
              <c:f>'Operator Report'!$D$2:$D$11</c:f>
              <c:numCache>
                <c:formatCode>General</c:formatCode>
                <c:ptCount val="10"/>
                <c:pt idx="0">
                  <c:v>461756167</c:v>
                </c:pt>
                <c:pt idx="1">
                  <c:v>151813457</c:v>
                </c:pt>
                <c:pt idx="2">
                  <c:v>144255030</c:v>
                </c:pt>
                <c:pt idx="3">
                  <c:v>114741932</c:v>
                </c:pt>
                <c:pt idx="4">
                  <c:v>111512115</c:v>
                </c:pt>
                <c:pt idx="5">
                  <c:v>80378990</c:v>
                </c:pt>
                <c:pt idx="6">
                  <c:v>59634834</c:v>
                </c:pt>
                <c:pt idx="7">
                  <c:v>45012707</c:v>
                </c:pt>
                <c:pt idx="8">
                  <c:v>36465637</c:v>
                </c:pt>
                <c:pt idx="9">
                  <c:v>32774650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5-4CC0-A218-82DAA0E07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Fields by Oil Production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Field No.</c:v>
          </c:tx>
          <c:invertIfNegative val="1"/>
          <c:cat>
            <c:strRef>
              <c:f>'Field Report'!$B$2:$B$11</c:f>
              <c:strCache>
                <c:ptCount val="10"/>
                <c:pt idx="0">
                  <c:v>SPRABERRY (TREND AREA)</c:v>
                </c:pt>
                <c:pt idx="1">
                  <c:v>SPRABERRY (TREND AREA) R 40 EXC</c:v>
                </c:pt>
                <c:pt idx="2">
                  <c:v>PARKS (CONSOLIDATED)</c:v>
                </c:pt>
                <c:pt idx="3">
                  <c:v>PEGASUS (CONSOLIDATED)</c:v>
                </c:pt>
                <c:pt idx="4">
                  <c:v>EMMA (BARNETT SHALE)</c:v>
                </c:pt>
                <c:pt idx="5">
                  <c:v>DORA ROBERTS (CONSOLIDATED)</c:v>
                </c:pt>
                <c:pt idx="6">
                  <c:v>SPRABERRY (TREND AREA)</c:v>
                </c:pt>
                <c:pt idx="7">
                  <c:v>SPRABERRY (TREND AREA) R 40 EXC</c:v>
                </c:pt>
                <c:pt idx="8">
                  <c:v>GERMANIA (GRAYBURG)</c:v>
                </c:pt>
                <c:pt idx="9">
                  <c:v>PEART (BARNETT)</c:v>
                </c:pt>
              </c:strCache>
            </c:strRef>
          </c:cat>
          <c:val>
            <c:numRef>
              <c:f>'Field Report'!$C$2:$C$11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3-46D2-8142-951925CF0990}"/>
            </c:ext>
          </c:extLst>
        </c:ser>
        <c:ser>
          <c:idx val="1"/>
          <c:order val="1"/>
          <c:tx>
            <c:v>Oil (BBL)</c:v>
          </c:tx>
          <c:invertIfNegative val="1"/>
          <c:cat>
            <c:strRef>
              <c:f>'Field Report'!$B$2:$B$11</c:f>
              <c:strCache>
                <c:ptCount val="10"/>
                <c:pt idx="0">
                  <c:v>SPRABERRY (TREND AREA)</c:v>
                </c:pt>
                <c:pt idx="1">
                  <c:v>SPRABERRY (TREND AREA) R 40 EXC</c:v>
                </c:pt>
                <c:pt idx="2">
                  <c:v>PARKS (CONSOLIDATED)</c:v>
                </c:pt>
                <c:pt idx="3">
                  <c:v>PEGASUS (CONSOLIDATED)</c:v>
                </c:pt>
                <c:pt idx="4">
                  <c:v>EMMA (BARNETT SHALE)</c:v>
                </c:pt>
                <c:pt idx="5">
                  <c:v>DORA ROBERTS (CONSOLIDATED)</c:v>
                </c:pt>
                <c:pt idx="6">
                  <c:v>SPRABERRY (TREND AREA)</c:v>
                </c:pt>
                <c:pt idx="7">
                  <c:v>SPRABERRY (TREND AREA) R 40 EXC</c:v>
                </c:pt>
                <c:pt idx="8">
                  <c:v>GERMANIA (GRAYBURG)</c:v>
                </c:pt>
                <c:pt idx="9">
                  <c:v>PEART (BARNETT)</c:v>
                </c:pt>
              </c:strCache>
            </c:strRef>
          </c:cat>
          <c:val>
            <c:numRef>
              <c:f>'Field Report'!$D$2:$D$11</c:f>
              <c:numCache>
                <c:formatCode>General</c:formatCode>
                <c:ptCount val="10"/>
                <c:pt idx="0">
                  <c:v>1119241146</c:v>
                </c:pt>
                <c:pt idx="1">
                  <c:v>129676142</c:v>
                </c:pt>
                <c:pt idx="2">
                  <c:v>108221412</c:v>
                </c:pt>
                <c:pt idx="3">
                  <c:v>14920092</c:v>
                </c:pt>
                <c:pt idx="4">
                  <c:v>1562968</c:v>
                </c:pt>
                <c:pt idx="5">
                  <c:v>1524912</c:v>
                </c:pt>
                <c:pt idx="6">
                  <c:v>1425332</c:v>
                </c:pt>
                <c:pt idx="7">
                  <c:v>703093</c:v>
                </c:pt>
                <c:pt idx="8">
                  <c:v>275137</c:v>
                </c:pt>
                <c:pt idx="9">
                  <c:v>267373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3-46D2-8142-951925CF0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Leases by Oil Production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Lease No.</c:v>
          </c:tx>
          <c:invertIfNegative val="1"/>
          <c:cat>
            <c:strRef>
              <c:f>'Lease Report'!$B$2:$B$11</c:f>
              <c:strCache>
                <c:ptCount val="10"/>
                <c:pt idx="0">
                  <c:v>TEXAS TEN Y PU</c:v>
                </c:pt>
                <c:pt idx="1">
                  <c:v>SOA SCHARBAUER SE</c:v>
                </c:pt>
                <c:pt idx="2">
                  <c:v>SCHARBAUER, C.</c:v>
                </c:pt>
                <c:pt idx="3">
                  <c:v>NOBLES</c:v>
                </c:pt>
                <c:pt idx="4">
                  <c:v>SOUTH CURTIS RANCH</c:v>
                </c:pt>
                <c:pt idx="5">
                  <c:v>PEGASUS FIELD UNIT 3</c:v>
                </c:pt>
                <c:pt idx="6">
                  <c:v>BRD ASTRODOME UNIT</c:v>
                </c:pt>
                <c:pt idx="7">
                  <c:v>GBG REEDY 13/25 UNIT</c:v>
                </c:pt>
                <c:pt idx="8">
                  <c:v>HUTT, DONALD L.'C'</c:v>
                </c:pt>
                <c:pt idx="9">
                  <c:v>GRIDIRON</c:v>
                </c:pt>
              </c:strCache>
            </c:strRef>
          </c:cat>
          <c:val>
            <c:numRef>
              <c:f>'Lease Report'!$C$2:$C$11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9-4693-9F7F-D0744964B639}"/>
            </c:ext>
          </c:extLst>
        </c:ser>
        <c:ser>
          <c:idx val="1"/>
          <c:order val="1"/>
          <c:tx>
            <c:v>Oil (BBL)</c:v>
          </c:tx>
          <c:invertIfNegative val="1"/>
          <c:cat>
            <c:strRef>
              <c:f>'Lease Report'!$B$2:$B$11</c:f>
              <c:strCache>
                <c:ptCount val="10"/>
                <c:pt idx="0">
                  <c:v>TEXAS TEN Y PU</c:v>
                </c:pt>
                <c:pt idx="1">
                  <c:v>SOA SCHARBAUER SE</c:v>
                </c:pt>
                <c:pt idx="2">
                  <c:v>SCHARBAUER, C.</c:v>
                </c:pt>
                <c:pt idx="3">
                  <c:v>NOBLES</c:v>
                </c:pt>
                <c:pt idx="4">
                  <c:v>SOUTH CURTIS RANCH</c:v>
                </c:pt>
                <c:pt idx="5">
                  <c:v>PEGASUS FIELD UNIT 3</c:v>
                </c:pt>
                <c:pt idx="6">
                  <c:v>BRD ASTRODOME UNIT</c:v>
                </c:pt>
                <c:pt idx="7">
                  <c:v>GBG REEDY 13/25 UNIT</c:v>
                </c:pt>
                <c:pt idx="8">
                  <c:v>HUTT, DONALD L.'C'</c:v>
                </c:pt>
                <c:pt idx="9">
                  <c:v>GRIDIRON</c:v>
                </c:pt>
              </c:strCache>
            </c:strRef>
          </c:cat>
          <c:val>
            <c:numRef>
              <c:f>'Lease Report'!$D$2:$D$11</c:f>
              <c:numCache>
                <c:formatCode>General</c:formatCode>
                <c:ptCount val="10"/>
                <c:pt idx="0">
                  <c:v>18773680</c:v>
                </c:pt>
                <c:pt idx="1">
                  <c:v>13745848</c:v>
                </c:pt>
                <c:pt idx="2">
                  <c:v>11007423</c:v>
                </c:pt>
                <c:pt idx="3">
                  <c:v>8536846</c:v>
                </c:pt>
                <c:pt idx="4">
                  <c:v>8223656</c:v>
                </c:pt>
                <c:pt idx="5">
                  <c:v>7595628</c:v>
                </c:pt>
                <c:pt idx="6">
                  <c:v>7453582</c:v>
                </c:pt>
                <c:pt idx="7">
                  <c:v>7135703</c:v>
                </c:pt>
                <c:pt idx="8">
                  <c:v>6668492</c:v>
                </c:pt>
                <c:pt idx="9">
                  <c:v>5909076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A9-4693-9F7F-D0744964B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213360</xdr:rowOff>
    </xdr:from>
    <xdr:to>
      <xdr:col>9</xdr:col>
      <xdr:colOff>419100</xdr:colOff>
      <xdr:row>19</xdr:row>
      <xdr:rowOff>160020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167640</xdr:colOff>
      <xdr:row>22</xdr:row>
      <xdr:rowOff>38100</xdr:rowOff>
    </xdr:from>
    <xdr:to>
      <xdr:col>9</xdr:col>
      <xdr:colOff>167640</xdr:colOff>
      <xdr:row>41</xdr:row>
      <xdr:rowOff>38100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632460</xdr:colOff>
      <xdr:row>1</xdr:row>
      <xdr:rowOff>152400</xdr:rowOff>
    </xdr:from>
    <xdr:to>
      <xdr:col>18</xdr:col>
      <xdr:colOff>632460</xdr:colOff>
      <xdr:row>19</xdr:row>
      <xdr:rowOff>152400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7620</xdr:colOff>
      <xdr:row>22</xdr:row>
      <xdr:rowOff>114300</xdr:rowOff>
    </xdr:from>
    <xdr:to>
      <xdr:col>19</xdr:col>
      <xdr:colOff>7620</xdr:colOff>
      <xdr:row>41</xdr:row>
      <xdr:rowOff>114300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Trends" displayName="MonthlyTrends" ref="A1:H76">
  <tableColumns count="8">
    <tableColumn id="1" xr3:uid="{00000000-0010-0000-0000-000001000000}" name="Date"/>
    <tableColumn id="2" xr3:uid="{00000000-0010-0000-0000-000002000000}" name="Year"/>
    <tableColumn id="3" xr3:uid="{00000000-0010-0000-0000-000003000000}" name="Oil (BBL)"/>
    <tableColumn id="4" xr3:uid="{00000000-0010-0000-0000-000004000000}" name="Casinghead (MCF)"/>
    <tableColumn id="5" xr3:uid="{00000000-0010-0000-0000-000005000000}" name="GW Gas (MCF)"/>
    <tableColumn id="6" xr3:uid="{00000000-0010-0000-0000-000006000000}" name="Gas Total (MCF)"/>
    <tableColumn id="7" xr3:uid="{00000000-0010-0000-0000-000007000000}" name="Condensate (BBL)"/>
    <tableColumn id="8" xr3:uid="{00000000-0010-0000-0000-000008000000}" name="GOR (MCF/BBL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nualSummary" displayName="AnnualSummary" ref="A1:F8">
  <tableColumns count="6">
    <tableColumn id="1" xr3:uid="{00000000-0010-0000-0100-000001000000}" name="Year"/>
    <tableColumn id="2" xr3:uid="{00000000-0010-0000-0100-000002000000}" name="Months in Dataset"/>
    <tableColumn id="3" xr3:uid="{00000000-0010-0000-0100-000003000000}" name="Oil (BBL)"/>
    <tableColumn id="4" xr3:uid="{00000000-0010-0000-0100-000004000000}" name="Gas Total (MCF)"/>
    <tableColumn id="5" xr3:uid="{00000000-0010-0000-0100-000005000000}" name="Condensate (BBL)"/>
    <tableColumn id="6" xr3:uid="{00000000-0010-0000-0100-000006000000}" name="GOR (MCF/BBL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eldReport" displayName="FieldReport" ref="A1:H21">
  <tableColumns count="8">
    <tableColumn id="1" xr3:uid="{00000000-0010-0000-0200-000001000000}" name="Rank"/>
    <tableColumn id="2" xr3:uid="{00000000-0010-0000-0200-000002000000}" name="Field Name"/>
    <tableColumn id="3" xr3:uid="{00000000-0010-0000-0200-000003000000}" name="Field No."/>
    <tableColumn id="4" xr3:uid="{00000000-0010-0000-0200-000004000000}" name="Oil (BBL)"/>
    <tableColumn id="5" xr3:uid="{00000000-0010-0000-0200-000005000000}" name="Gas Total (MCF)"/>
    <tableColumn id="6" xr3:uid="{00000000-0010-0000-0200-000006000000}" name="Condensate (BBL)"/>
    <tableColumn id="7" xr3:uid="{00000000-0010-0000-0200-000007000000}" name="GOR (MCF/BBL)"/>
    <tableColumn id="8" xr3:uid="{00000000-0010-0000-0200-000008000000}" name="Share of County O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peratorReport" displayName="OperatorReport" ref="A1:H21">
  <tableColumns count="8">
    <tableColumn id="1" xr3:uid="{00000000-0010-0000-0300-000001000000}" name="Rank"/>
    <tableColumn id="2" xr3:uid="{00000000-0010-0000-0300-000002000000}" name="Operator Name"/>
    <tableColumn id="3" xr3:uid="{00000000-0010-0000-0300-000003000000}" name="Operator No."/>
    <tableColumn id="4" xr3:uid="{00000000-0010-0000-0300-000004000000}" name="Oil (BBL)"/>
    <tableColumn id="5" xr3:uid="{00000000-0010-0000-0300-000005000000}" name="Gas Total (MCF)"/>
    <tableColumn id="6" xr3:uid="{00000000-0010-0000-0300-000006000000}" name="Condensate (BBL)"/>
    <tableColumn id="7" xr3:uid="{00000000-0010-0000-0300-000007000000}" name="GOR (MCF/BBL)"/>
    <tableColumn id="8" xr3:uid="{00000000-0010-0000-0300-000008000000}" name="Share of County O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easeReport" displayName="LeaseReport" ref="A1:H21">
  <tableColumns count="8">
    <tableColumn id="1" xr3:uid="{00000000-0010-0000-0400-000001000000}" name="Rank"/>
    <tableColumn id="2" xr3:uid="{00000000-0010-0000-0400-000002000000}" name="Lease Name"/>
    <tableColumn id="3" xr3:uid="{00000000-0010-0000-0400-000003000000}" name="Lease No."/>
    <tableColumn id="4" xr3:uid="{00000000-0010-0000-0400-000004000000}" name="Oil (BBL)"/>
    <tableColumn id="5" xr3:uid="{00000000-0010-0000-0400-000005000000}" name="Gas Total (MCF)"/>
    <tableColumn id="6" xr3:uid="{00000000-0010-0000-0400-000006000000}" name="Condensate (BBL)"/>
    <tableColumn id="7" xr3:uid="{00000000-0010-0000-0400-000007000000}" name="GOR (MCF/BBL)"/>
    <tableColumn id="8" xr3:uid="{00000000-0010-0000-0400-000008000000}" name="Share of County O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llFields" displayName="AllFields" ref="A1:G95">
  <tableColumns count="7">
    <tableColumn id="1" xr3:uid="{00000000-0010-0000-0500-000001000000}" name="Field Name"/>
    <tableColumn id="2" xr3:uid="{00000000-0010-0000-0500-000002000000}" name="Field No."/>
    <tableColumn id="3" xr3:uid="{00000000-0010-0000-0500-000003000000}" name="Oil (BBL)"/>
    <tableColumn id="4" xr3:uid="{00000000-0010-0000-0500-000004000000}" name="Gas Total (MCF)"/>
    <tableColumn id="5" xr3:uid="{00000000-0010-0000-0500-000005000000}" name="Condensate (BBL)"/>
    <tableColumn id="6" xr3:uid="{00000000-0010-0000-0500-000006000000}" name="GOR (MCF/BBL)"/>
    <tableColumn id="7" xr3:uid="{00000000-0010-0000-0500-000007000000}" name="Share of O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sqref="A1:B1"/>
    </sheetView>
  </sheetViews>
  <sheetFormatPr defaultRowHeight="13.8"/>
  <cols>
    <col min="1" max="1" width="33.3984375" customWidth="1"/>
    <col min="2" max="2" width="80" customWidth="1"/>
  </cols>
  <sheetData>
    <row r="1" spans="1:2" ht="17.399999999999999">
      <c r="A1" s="9" t="s">
        <v>0</v>
      </c>
      <c r="B1" s="9"/>
    </row>
    <row r="2" spans="1:2">
      <c r="A2" s="2" t="s">
        <v>1</v>
      </c>
      <c r="B2" t="s">
        <v>2</v>
      </c>
    </row>
    <row r="3" spans="1:2">
      <c r="A3" s="2" t="s">
        <v>3</v>
      </c>
      <c r="B3" t="s">
        <v>4</v>
      </c>
    </row>
    <row r="4" spans="1:2">
      <c r="A4" s="2" t="s">
        <v>5</v>
      </c>
      <c r="B4" t="s">
        <v>6</v>
      </c>
    </row>
    <row r="5" spans="1:2">
      <c r="A5" s="2" t="s">
        <v>7</v>
      </c>
      <c r="B5" s="3">
        <v>1379471252</v>
      </c>
    </row>
    <row r="6" spans="1:2">
      <c r="A6" s="2" t="s">
        <v>8</v>
      </c>
      <c r="B6" s="3">
        <v>4860365156</v>
      </c>
    </row>
    <row r="7" spans="1:2">
      <c r="A7" s="2" t="s">
        <v>9</v>
      </c>
      <c r="B7" s="3">
        <v>1264961</v>
      </c>
    </row>
    <row r="8" spans="1:2">
      <c r="A8" s="2" t="s">
        <v>10</v>
      </c>
      <c r="B8" s="4">
        <v>3.5233537117596998</v>
      </c>
    </row>
    <row r="9" spans="1:2">
      <c r="A9" s="2" t="s">
        <v>11</v>
      </c>
      <c r="B9" s="5">
        <v>0.26094122103477635</v>
      </c>
    </row>
    <row r="10" spans="1:2">
      <c r="A10" s="2" t="s">
        <v>12</v>
      </c>
      <c r="B10" s="5">
        <v>0.78719461973882288</v>
      </c>
    </row>
    <row r="11" spans="1:2">
      <c r="A11" s="2" t="s">
        <v>13</v>
      </c>
      <c r="B11" s="5">
        <v>0.41734966699889675</v>
      </c>
    </row>
    <row r="12" spans="1:2">
      <c r="A12" s="2" t="s">
        <v>14</v>
      </c>
      <c r="B12" t="s">
        <v>15</v>
      </c>
    </row>
    <row r="13" spans="1:2">
      <c r="A13" s="2" t="s">
        <v>16</v>
      </c>
      <c r="B13" t="s">
        <v>17</v>
      </c>
    </row>
    <row r="14" spans="1:2">
      <c r="A14" s="2" t="s">
        <v>18</v>
      </c>
      <c r="B14" s="5">
        <v>0.99880124721874231</v>
      </c>
    </row>
    <row r="15" spans="1:2">
      <c r="A15" s="2" t="s">
        <v>19</v>
      </c>
      <c r="B15" s="5">
        <v>0.51950236872352018</v>
      </c>
    </row>
    <row r="16" spans="1:2">
      <c r="A16" s="2" t="s">
        <v>20</v>
      </c>
      <c r="B16" s="5">
        <v>0.10537890571423086</v>
      </c>
    </row>
    <row r="17" spans="1:2">
      <c r="A17" s="2" t="s">
        <v>21</v>
      </c>
      <c r="B17">
        <v>4240</v>
      </c>
    </row>
    <row r="19" spans="1:2">
      <c r="A19" s="2" t="s">
        <v>22</v>
      </c>
      <c r="B19" t="s">
        <v>23</v>
      </c>
    </row>
    <row r="20" spans="1:2">
      <c r="A20" s="2"/>
      <c r="B20" t="s">
        <v>24</v>
      </c>
    </row>
    <row r="21" spans="1:2">
      <c r="A21" s="2"/>
      <c r="B21" t="s">
        <v>25</v>
      </c>
    </row>
    <row r="22" spans="1:2">
      <c r="A22" s="2"/>
      <c r="B22" t="s">
        <v>26</v>
      </c>
    </row>
    <row r="23" spans="1:2">
      <c r="A23" s="2"/>
      <c r="B23" t="s">
        <v>27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"/>
  <sheetViews>
    <sheetView workbookViewId="0">
      <selection activeCell="K8" sqref="K8"/>
    </sheetView>
  </sheetViews>
  <sheetFormatPr defaultRowHeight="13.8"/>
  <cols>
    <col min="1" max="1" width="7.8984375" customWidth="1"/>
    <col min="2" max="2" width="5.3984375" customWidth="1"/>
    <col min="3" max="3" width="9.69921875" customWidth="1"/>
    <col min="4" max="4" width="16.5" customWidth="1"/>
    <col min="5" max="5" width="15.69921875" customWidth="1"/>
    <col min="6" max="6" width="16.796875" customWidth="1"/>
    <col min="7" max="7" width="18.3984375" customWidth="1"/>
    <col min="8" max="8" width="16" customWidth="1"/>
  </cols>
  <sheetData>
    <row r="1" spans="1:8">
      <c r="A1" s="1" t="s">
        <v>28</v>
      </c>
      <c r="B1" s="1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</row>
    <row r="2" spans="1:8">
      <c r="A2" t="s">
        <v>36</v>
      </c>
      <c r="B2">
        <v>2020</v>
      </c>
      <c r="C2">
        <v>17030249</v>
      </c>
      <c r="D2">
        <v>41328706</v>
      </c>
      <c r="E2">
        <v>321266</v>
      </c>
      <c r="F2">
        <v>41649972</v>
      </c>
      <c r="G2">
        <v>6888</v>
      </c>
      <c r="H2">
        <v>2.4456466843203524</v>
      </c>
    </row>
    <row r="3" spans="1:8">
      <c r="A3" t="s">
        <v>37</v>
      </c>
      <c r="B3">
        <v>2020</v>
      </c>
      <c r="C3">
        <v>15772319</v>
      </c>
      <c r="D3">
        <v>38415798</v>
      </c>
      <c r="E3">
        <v>312327</v>
      </c>
      <c r="F3">
        <v>38728125</v>
      </c>
      <c r="G3">
        <v>6636</v>
      </c>
      <c r="H3">
        <v>2.4554490053111402</v>
      </c>
    </row>
    <row r="4" spans="1:8">
      <c r="A4" t="s">
        <v>38</v>
      </c>
      <c r="B4">
        <v>2020</v>
      </c>
      <c r="C4">
        <v>17266683</v>
      </c>
      <c r="D4">
        <v>44144100</v>
      </c>
      <c r="E4">
        <v>370431</v>
      </c>
      <c r="F4">
        <v>44514531</v>
      </c>
      <c r="G4">
        <v>7230</v>
      </c>
      <c r="H4">
        <v>2.5780592022219904</v>
      </c>
    </row>
    <row r="5" spans="1:8">
      <c r="A5" t="s">
        <v>39</v>
      </c>
      <c r="B5">
        <v>2020</v>
      </c>
      <c r="C5">
        <v>15963725</v>
      </c>
      <c r="D5">
        <v>43160681</v>
      </c>
      <c r="E5">
        <v>339924</v>
      </c>
      <c r="F5">
        <v>43500605</v>
      </c>
      <c r="G5">
        <v>6056</v>
      </c>
      <c r="H5">
        <v>2.7249658209471788</v>
      </c>
    </row>
    <row r="6" spans="1:8">
      <c r="A6" t="s">
        <v>40</v>
      </c>
      <c r="B6">
        <v>2020</v>
      </c>
      <c r="C6">
        <v>14639625</v>
      </c>
      <c r="D6">
        <v>40822467</v>
      </c>
      <c r="E6">
        <v>337548</v>
      </c>
      <c r="F6">
        <v>41160015</v>
      </c>
      <c r="G6">
        <v>5265</v>
      </c>
      <c r="H6">
        <v>2.8115484515484517</v>
      </c>
    </row>
    <row r="7" spans="1:8">
      <c r="A7" t="s">
        <v>41</v>
      </c>
      <c r="B7">
        <v>2020</v>
      </c>
      <c r="C7">
        <v>15936333</v>
      </c>
      <c r="D7">
        <v>43309365</v>
      </c>
      <c r="E7">
        <v>300023</v>
      </c>
      <c r="F7">
        <v>43609388</v>
      </c>
      <c r="G7">
        <v>4791</v>
      </c>
      <c r="H7">
        <v>2.736475699899092</v>
      </c>
    </row>
    <row r="8" spans="1:8">
      <c r="A8" t="s">
        <v>42</v>
      </c>
      <c r="B8">
        <v>2020</v>
      </c>
      <c r="C8">
        <v>16656274</v>
      </c>
      <c r="D8">
        <v>48469586</v>
      </c>
      <c r="E8">
        <v>315319</v>
      </c>
      <c r="F8">
        <v>48784905</v>
      </c>
      <c r="G8">
        <v>4996</v>
      </c>
      <c r="H8">
        <v>2.9289206577653562</v>
      </c>
    </row>
    <row r="9" spans="1:8">
      <c r="A9" t="s">
        <v>43</v>
      </c>
      <c r="B9">
        <v>2020</v>
      </c>
      <c r="C9">
        <v>16088773</v>
      </c>
      <c r="D9">
        <v>49640294</v>
      </c>
      <c r="E9">
        <v>327945</v>
      </c>
      <c r="F9">
        <v>49968239</v>
      </c>
      <c r="G9">
        <v>5572</v>
      </c>
      <c r="H9">
        <v>3.1057830824016226</v>
      </c>
    </row>
    <row r="10" spans="1:8">
      <c r="A10" t="s">
        <v>44</v>
      </c>
      <c r="B10">
        <v>2020</v>
      </c>
      <c r="C10">
        <v>15105744</v>
      </c>
      <c r="D10">
        <v>48817628</v>
      </c>
      <c r="E10">
        <v>304174</v>
      </c>
      <c r="F10">
        <v>49121802</v>
      </c>
      <c r="G10">
        <v>5215</v>
      </c>
      <c r="H10">
        <v>3.2518624703291676</v>
      </c>
    </row>
    <row r="11" spans="1:8">
      <c r="A11" t="s">
        <v>45</v>
      </c>
      <c r="B11">
        <v>2020</v>
      </c>
      <c r="C11">
        <v>15536200</v>
      </c>
      <c r="D11">
        <v>49882520</v>
      </c>
      <c r="E11">
        <v>296650</v>
      </c>
      <c r="F11">
        <v>50179170</v>
      </c>
      <c r="G11">
        <v>5165</v>
      </c>
      <c r="H11">
        <v>3.2298226078449042</v>
      </c>
    </row>
    <row r="12" spans="1:8">
      <c r="A12" t="s">
        <v>46</v>
      </c>
      <c r="B12">
        <v>2020</v>
      </c>
      <c r="C12">
        <v>15360769</v>
      </c>
      <c r="D12">
        <v>47967512</v>
      </c>
      <c r="E12">
        <v>273196</v>
      </c>
      <c r="F12">
        <v>48240708</v>
      </c>
      <c r="G12">
        <v>4596</v>
      </c>
      <c r="H12">
        <v>3.1405138635962824</v>
      </c>
    </row>
    <row r="13" spans="1:8">
      <c r="A13" t="s">
        <v>47</v>
      </c>
      <c r="B13">
        <v>2020</v>
      </c>
      <c r="C13">
        <v>16319239</v>
      </c>
      <c r="D13">
        <v>50057762</v>
      </c>
      <c r="E13">
        <v>287381</v>
      </c>
      <c r="F13">
        <v>50345143</v>
      </c>
      <c r="G13">
        <v>6097</v>
      </c>
      <c r="H13">
        <v>3.0850178124114733</v>
      </c>
    </row>
    <row r="14" spans="1:8">
      <c r="A14" t="s">
        <v>48</v>
      </c>
      <c r="B14">
        <v>2021</v>
      </c>
      <c r="C14">
        <v>16387771</v>
      </c>
      <c r="D14">
        <v>50366003</v>
      </c>
      <c r="E14">
        <v>260263</v>
      </c>
      <c r="F14">
        <v>50626266</v>
      </c>
      <c r="G14">
        <v>5204</v>
      </c>
      <c r="H14">
        <v>3.089271018004828</v>
      </c>
    </row>
    <row r="15" spans="1:8">
      <c r="A15" t="s">
        <v>49</v>
      </c>
      <c r="B15">
        <v>2021</v>
      </c>
      <c r="C15">
        <v>12020070</v>
      </c>
      <c r="D15">
        <v>34068713</v>
      </c>
      <c r="E15">
        <v>205456</v>
      </c>
      <c r="F15">
        <v>34274169</v>
      </c>
      <c r="G15">
        <v>4195</v>
      </c>
      <c r="H15">
        <v>2.8514117638250025</v>
      </c>
    </row>
    <row r="16" spans="1:8">
      <c r="A16" t="s">
        <v>50</v>
      </c>
      <c r="B16">
        <v>2021</v>
      </c>
      <c r="C16">
        <v>17963436</v>
      </c>
      <c r="D16">
        <v>50396144</v>
      </c>
      <c r="E16">
        <v>307078</v>
      </c>
      <c r="F16">
        <v>50703222</v>
      </c>
      <c r="G16">
        <v>5807</v>
      </c>
      <c r="H16">
        <v>2.8225792660156999</v>
      </c>
    </row>
    <row r="17" spans="1:8">
      <c r="A17" t="s">
        <v>51</v>
      </c>
      <c r="B17">
        <v>2021</v>
      </c>
      <c r="C17">
        <v>16573858</v>
      </c>
      <c r="D17">
        <v>51328346</v>
      </c>
      <c r="E17">
        <v>303272</v>
      </c>
      <c r="F17">
        <v>51631618</v>
      </c>
      <c r="G17">
        <v>6118</v>
      </c>
      <c r="H17">
        <v>3.1152443806384729</v>
      </c>
    </row>
    <row r="18" spans="1:8">
      <c r="A18" t="s">
        <v>52</v>
      </c>
      <c r="B18">
        <v>2021</v>
      </c>
      <c r="C18">
        <v>17014976</v>
      </c>
      <c r="D18">
        <v>54367558</v>
      </c>
      <c r="E18">
        <v>303031</v>
      </c>
      <c r="F18">
        <v>54670589</v>
      </c>
      <c r="G18">
        <v>6653</v>
      </c>
      <c r="H18">
        <v>3.2130864598339723</v>
      </c>
    </row>
    <row r="19" spans="1:8">
      <c r="A19" t="s">
        <v>53</v>
      </c>
      <c r="B19">
        <v>2021</v>
      </c>
      <c r="C19">
        <v>16103431</v>
      </c>
      <c r="D19">
        <v>52536831</v>
      </c>
      <c r="E19">
        <v>272736</v>
      </c>
      <c r="F19">
        <v>52809567</v>
      </c>
      <c r="G19">
        <v>6097</v>
      </c>
      <c r="H19">
        <v>3.2793984710463255</v>
      </c>
    </row>
    <row r="20" spans="1:8">
      <c r="A20" t="s">
        <v>54</v>
      </c>
      <c r="B20">
        <v>2021</v>
      </c>
      <c r="C20">
        <v>16571998</v>
      </c>
      <c r="D20">
        <v>55581941</v>
      </c>
      <c r="E20">
        <v>299071</v>
      </c>
      <c r="F20">
        <v>55881012</v>
      </c>
      <c r="G20">
        <v>6121</v>
      </c>
      <c r="H20">
        <v>3.3720141650994648</v>
      </c>
    </row>
    <row r="21" spans="1:8">
      <c r="A21" t="s">
        <v>55</v>
      </c>
      <c r="B21">
        <v>2021</v>
      </c>
      <c r="C21">
        <v>16657446</v>
      </c>
      <c r="D21">
        <v>55471810</v>
      </c>
      <c r="E21">
        <v>292285</v>
      </c>
      <c r="F21">
        <v>55764095</v>
      </c>
      <c r="G21">
        <v>6277</v>
      </c>
      <c r="H21">
        <v>3.3476977803199843</v>
      </c>
    </row>
    <row r="22" spans="1:8">
      <c r="A22" t="s">
        <v>56</v>
      </c>
      <c r="B22">
        <v>2021</v>
      </c>
      <c r="C22">
        <v>15971241</v>
      </c>
      <c r="D22">
        <v>53620799</v>
      </c>
      <c r="E22">
        <v>284765</v>
      </c>
      <c r="F22">
        <v>53905564</v>
      </c>
      <c r="G22">
        <v>4920</v>
      </c>
      <c r="H22">
        <v>3.3751643970559333</v>
      </c>
    </row>
    <row r="23" spans="1:8">
      <c r="A23" t="s">
        <v>57</v>
      </c>
      <c r="B23">
        <v>2021</v>
      </c>
      <c r="C23">
        <v>17525957</v>
      </c>
      <c r="D23">
        <v>55836228</v>
      </c>
      <c r="E23">
        <v>293483</v>
      </c>
      <c r="F23">
        <v>56129711</v>
      </c>
      <c r="G23">
        <v>5575</v>
      </c>
      <c r="H23">
        <v>3.2026616863204675</v>
      </c>
    </row>
    <row r="24" spans="1:8">
      <c r="A24" t="s">
        <v>58</v>
      </c>
      <c r="B24">
        <v>2021</v>
      </c>
      <c r="C24">
        <v>17718771</v>
      </c>
      <c r="D24">
        <v>55591702</v>
      </c>
      <c r="E24">
        <v>286335</v>
      </c>
      <c r="F24">
        <v>55878037</v>
      </c>
      <c r="G24">
        <v>6320</v>
      </c>
      <c r="H24">
        <v>3.1536068161838089</v>
      </c>
    </row>
    <row r="25" spans="1:8">
      <c r="A25" t="s">
        <v>59</v>
      </c>
      <c r="B25">
        <v>2021</v>
      </c>
      <c r="C25">
        <v>18634167</v>
      </c>
      <c r="D25">
        <v>58416941</v>
      </c>
      <c r="E25">
        <v>277909</v>
      </c>
      <c r="F25">
        <v>58694850</v>
      </c>
      <c r="G25">
        <v>6290</v>
      </c>
      <c r="H25">
        <v>3.1498510236599255</v>
      </c>
    </row>
    <row r="26" spans="1:8">
      <c r="A26" t="s">
        <v>60</v>
      </c>
      <c r="B26">
        <v>2022</v>
      </c>
      <c r="C26">
        <v>17874265</v>
      </c>
      <c r="D26">
        <v>55908770</v>
      </c>
      <c r="E26">
        <v>297714</v>
      </c>
      <c r="F26">
        <v>56206484</v>
      </c>
      <c r="G26">
        <v>6232</v>
      </c>
      <c r="H26">
        <v>3.1445479856094782</v>
      </c>
    </row>
    <row r="27" spans="1:8">
      <c r="A27" t="s">
        <v>61</v>
      </c>
      <c r="B27">
        <v>2022</v>
      </c>
      <c r="C27">
        <v>15566902</v>
      </c>
      <c r="D27">
        <v>48858891</v>
      </c>
      <c r="E27">
        <v>240974</v>
      </c>
      <c r="F27">
        <v>49099865</v>
      </c>
      <c r="G27">
        <v>5279</v>
      </c>
      <c r="H27">
        <v>3.1541192332295789</v>
      </c>
    </row>
    <row r="28" spans="1:8">
      <c r="A28" t="s">
        <v>62</v>
      </c>
      <c r="B28">
        <v>2022</v>
      </c>
      <c r="C28">
        <v>18348557</v>
      </c>
      <c r="D28">
        <v>58445699</v>
      </c>
      <c r="E28">
        <v>270509</v>
      </c>
      <c r="F28">
        <v>58716208</v>
      </c>
      <c r="G28">
        <v>5729</v>
      </c>
      <c r="H28">
        <v>3.2000449953639407</v>
      </c>
    </row>
    <row r="29" spans="1:8">
      <c r="A29" t="s">
        <v>63</v>
      </c>
      <c r="B29">
        <v>2022</v>
      </c>
      <c r="C29">
        <v>17981225</v>
      </c>
      <c r="D29">
        <v>56822878</v>
      </c>
      <c r="E29">
        <v>263707</v>
      </c>
      <c r="F29">
        <v>57086585</v>
      </c>
      <c r="G29">
        <v>6425</v>
      </c>
      <c r="H29">
        <v>3.1747884251490097</v>
      </c>
    </row>
    <row r="30" spans="1:8">
      <c r="A30" t="s">
        <v>64</v>
      </c>
      <c r="B30">
        <v>2022</v>
      </c>
      <c r="C30">
        <v>18267524</v>
      </c>
      <c r="D30">
        <v>58961332</v>
      </c>
      <c r="E30">
        <v>278714</v>
      </c>
      <c r="F30">
        <v>59240046</v>
      </c>
      <c r="G30">
        <v>5344</v>
      </c>
      <c r="H30">
        <v>3.2429160076647499</v>
      </c>
    </row>
    <row r="31" spans="1:8">
      <c r="A31" t="s">
        <v>65</v>
      </c>
      <c r="B31">
        <v>2022</v>
      </c>
      <c r="C31">
        <v>18175991</v>
      </c>
      <c r="D31">
        <v>58198941</v>
      </c>
      <c r="E31">
        <v>245013</v>
      </c>
      <c r="F31">
        <v>58443954</v>
      </c>
      <c r="G31">
        <v>4242</v>
      </c>
      <c r="H31">
        <v>3.2154480050083651</v>
      </c>
    </row>
    <row r="32" spans="1:8">
      <c r="A32" t="s">
        <v>66</v>
      </c>
      <c r="B32">
        <v>2022</v>
      </c>
      <c r="C32">
        <v>18710102</v>
      </c>
      <c r="D32">
        <v>61101484</v>
      </c>
      <c r="E32">
        <v>263543</v>
      </c>
      <c r="F32">
        <v>61365027</v>
      </c>
      <c r="G32">
        <v>4654</v>
      </c>
      <c r="H32">
        <v>3.2797804629819765</v>
      </c>
    </row>
    <row r="33" spans="1:8">
      <c r="A33" t="s">
        <v>67</v>
      </c>
      <c r="B33">
        <v>2022</v>
      </c>
      <c r="C33">
        <v>19224427</v>
      </c>
      <c r="D33">
        <v>62801081</v>
      </c>
      <c r="E33">
        <v>273784</v>
      </c>
      <c r="F33">
        <v>63074865</v>
      </c>
      <c r="G33">
        <v>5739</v>
      </c>
      <c r="H33">
        <v>3.2809750324417992</v>
      </c>
    </row>
    <row r="34" spans="1:8">
      <c r="A34" t="s">
        <v>68</v>
      </c>
      <c r="B34">
        <v>2022</v>
      </c>
      <c r="C34">
        <v>18776788</v>
      </c>
      <c r="D34">
        <v>62180516</v>
      </c>
      <c r="E34">
        <v>258747</v>
      </c>
      <c r="F34">
        <v>62439263</v>
      </c>
      <c r="G34">
        <v>4839</v>
      </c>
      <c r="H34">
        <v>3.3253431311042121</v>
      </c>
    </row>
    <row r="35" spans="1:8">
      <c r="A35" t="s">
        <v>69</v>
      </c>
      <c r="B35">
        <v>2022</v>
      </c>
      <c r="C35">
        <v>20193868</v>
      </c>
      <c r="D35">
        <v>66004326</v>
      </c>
      <c r="E35">
        <v>241653</v>
      </c>
      <c r="F35">
        <v>66245979</v>
      </c>
      <c r="G35">
        <v>4635</v>
      </c>
      <c r="H35">
        <v>3.2804997536876046</v>
      </c>
    </row>
    <row r="36" spans="1:8">
      <c r="A36" t="s">
        <v>70</v>
      </c>
      <c r="B36">
        <v>2022</v>
      </c>
      <c r="C36">
        <v>19516249</v>
      </c>
      <c r="D36">
        <v>63814421</v>
      </c>
      <c r="E36">
        <v>226332</v>
      </c>
      <c r="F36">
        <v>64040753</v>
      </c>
      <c r="G36">
        <v>4974</v>
      </c>
      <c r="H36">
        <v>3.2814068420627347</v>
      </c>
    </row>
    <row r="37" spans="1:8">
      <c r="A37" t="s">
        <v>71</v>
      </c>
      <c r="B37">
        <v>2022</v>
      </c>
      <c r="C37">
        <v>19042183</v>
      </c>
      <c r="D37">
        <v>63830997</v>
      </c>
      <c r="E37">
        <v>223919</v>
      </c>
      <c r="F37">
        <v>64054916</v>
      </c>
      <c r="G37">
        <v>5167</v>
      </c>
      <c r="H37">
        <v>3.3638431055935132</v>
      </c>
    </row>
    <row r="38" spans="1:8">
      <c r="A38" t="s">
        <v>72</v>
      </c>
      <c r="B38">
        <v>2023</v>
      </c>
      <c r="C38">
        <v>18970868</v>
      </c>
      <c r="D38">
        <v>64308792</v>
      </c>
      <c r="E38">
        <v>203507</v>
      </c>
      <c r="F38">
        <v>64512299</v>
      </c>
      <c r="G38">
        <v>4943</v>
      </c>
      <c r="H38">
        <v>3.4005981697832697</v>
      </c>
    </row>
    <row r="39" spans="1:8">
      <c r="A39" t="s">
        <v>73</v>
      </c>
      <c r="B39">
        <v>2023</v>
      </c>
      <c r="C39">
        <v>17239767</v>
      </c>
      <c r="D39">
        <v>58402371</v>
      </c>
      <c r="E39">
        <v>187385</v>
      </c>
      <c r="F39">
        <v>58589756</v>
      </c>
      <c r="G39">
        <v>3892</v>
      </c>
      <c r="H39">
        <v>3.3985236575413111</v>
      </c>
    </row>
    <row r="40" spans="1:8">
      <c r="A40" t="s">
        <v>74</v>
      </c>
      <c r="B40">
        <v>2023</v>
      </c>
      <c r="C40">
        <v>19545034</v>
      </c>
      <c r="D40">
        <v>67498440</v>
      </c>
      <c r="E40">
        <v>244432</v>
      </c>
      <c r="F40">
        <v>67742872</v>
      </c>
      <c r="G40">
        <v>4678</v>
      </c>
      <c r="H40">
        <v>3.4659889565809912</v>
      </c>
    </row>
    <row r="41" spans="1:8">
      <c r="A41" t="s">
        <v>75</v>
      </c>
      <c r="B41">
        <v>2023</v>
      </c>
      <c r="C41">
        <v>19170247</v>
      </c>
      <c r="D41">
        <v>66727883</v>
      </c>
      <c r="E41">
        <v>241859</v>
      </c>
      <c r="F41">
        <v>66969742</v>
      </c>
      <c r="G41">
        <v>5222</v>
      </c>
      <c r="H41">
        <v>3.4934209246234542</v>
      </c>
    </row>
    <row r="42" spans="1:8">
      <c r="A42" t="s">
        <v>76</v>
      </c>
      <c r="B42">
        <v>2023</v>
      </c>
      <c r="C42">
        <v>20270076</v>
      </c>
      <c r="D42">
        <v>70481846</v>
      </c>
      <c r="E42">
        <v>254774</v>
      </c>
      <c r="F42">
        <v>70736620</v>
      </c>
      <c r="G42">
        <v>4956</v>
      </c>
      <c r="H42">
        <v>3.4897066986823333</v>
      </c>
    </row>
    <row r="43" spans="1:8">
      <c r="A43" t="s">
        <v>77</v>
      </c>
      <c r="B43">
        <v>2023</v>
      </c>
      <c r="C43">
        <v>19924223</v>
      </c>
      <c r="D43">
        <v>68258240</v>
      </c>
      <c r="E43">
        <v>243081</v>
      </c>
      <c r="F43">
        <v>68501321</v>
      </c>
      <c r="G43">
        <v>4321</v>
      </c>
      <c r="H43">
        <v>3.4380924666422374</v>
      </c>
    </row>
    <row r="44" spans="1:8">
      <c r="A44" t="s">
        <v>78</v>
      </c>
      <c r="B44">
        <v>2023</v>
      </c>
      <c r="C44">
        <v>21304745</v>
      </c>
      <c r="D44">
        <v>72007195</v>
      </c>
      <c r="E44">
        <v>277641</v>
      </c>
      <c r="F44">
        <v>72284836</v>
      </c>
      <c r="G44">
        <v>5231</v>
      </c>
      <c r="H44">
        <v>3.3928984364750669</v>
      </c>
    </row>
    <row r="45" spans="1:8">
      <c r="A45" t="s">
        <v>79</v>
      </c>
      <c r="B45">
        <v>2023</v>
      </c>
      <c r="C45">
        <v>20376909</v>
      </c>
      <c r="D45">
        <v>72844755</v>
      </c>
      <c r="E45">
        <v>249406</v>
      </c>
      <c r="F45">
        <v>73094161</v>
      </c>
      <c r="G45">
        <v>4744</v>
      </c>
      <c r="H45">
        <v>3.5871073969069598</v>
      </c>
    </row>
    <row r="46" spans="1:8">
      <c r="A46" t="s">
        <v>80</v>
      </c>
      <c r="B46">
        <v>2023</v>
      </c>
      <c r="C46">
        <v>18210223</v>
      </c>
      <c r="D46">
        <v>68983836</v>
      </c>
      <c r="E46">
        <v>267487</v>
      </c>
      <c r="F46">
        <v>69251323</v>
      </c>
      <c r="G46">
        <v>5498</v>
      </c>
      <c r="H46">
        <v>3.8028816560895491</v>
      </c>
    </row>
    <row r="47" spans="1:8">
      <c r="A47" t="s">
        <v>81</v>
      </c>
      <c r="B47">
        <v>2023</v>
      </c>
      <c r="C47">
        <v>19608647</v>
      </c>
      <c r="D47">
        <v>71648302</v>
      </c>
      <c r="E47">
        <v>271652</v>
      </c>
      <c r="F47">
        <v>71919954</v>
      </c>
      <c r="G47">
        <v>5654</v>
      </c>
      <c r="H47">
        <v>3.6677672865445534</v>
      </c>
    </row>
    <row r="48" spans="1:8">
      <c r="A48" t="s">
        <v>82</v>
      </c>
      <c r="B48">
        <v>2023</v>
      </c>
      <c r="C48">
        <v>19493072</v>
      </c>
      <c r="D48">
        <v>70939200</v>
      </c>
      <c r="E48">
        <v>213100</v>
      </c>
      <c r="F48">
        <v>71152300</v>
      </c>
      <c r="G48">
        <v>5126</v>
      </c>
      <c r="H48">
        <v>3.6501327240775594</v>
      </c>
    </row>
    <row r="49" spans="1:8">
      <c r="A49" t="s">
        <v>83</v>
      </c>
      <c r="B49">
        <v>2023</v>
      </c>
      <c r="C49">
        <v>20404300</v>
      </c>
      <c r="D49">
        <v>74120352</v>
      </c>
      <c r="E49">
        <v>205060</v>
      </c>
      <c r="F49">
        <v>74325412</v>
      </c>
      <c r="G49">
        <v>4954</v>
      </c>
      <c r="H49">
        <v>3.6426347387560467</v>
      </c>
    </row>
    <row r="50" spans="1:8">
      <c r="A50" t="s">
        <v>84</v>
      </c>
      <c r="B50">
        <v>2024</v>
      </c>
      <c r="C50">
        <v>19080048</v>
      </c>
      <c r="D50">
        <v>70120042</v>
      </c>
      <c r="E50">
        <v>209527</v>
      </c>
      <c r="F50">
        <v>70329569</v>
      </c>
      <c r="G50">
        <v>5619</v>
      </c>
      <c r="H50">
        <v>3.6860268380876189</v>
      </c>
    </row>
    <row r="51" spans="1:8">
      <c r="A51" t="s">
        <v>85</v>
      </c>
      <c r="B51">
        <v>2024</v>
      </c>
      <c r="C51">
        <v>18376058</v>
      </c>
      <c r="D51">
        <v>68815516</v>
      </c>
      <c r="E51">
        <v>210857</v>
      </c>
      <c r="F51">
        <v>69026373</v>
      </c>
      <c r="G51">
        <v>4694</v>
      </c>
      <c r="H51">
        <v>3.7563210238017315</v>
      </c>
    </row>
    <row r="52" spans="1:8">
      <c r="A52" t="s">
        <v>86</v>
      </c>
      <c r="B52">
        <v>2024</v>
      </c>
      <c r="C52">
        <v>19523234</v>
      </c>
      <c r="D52">
        <v>75092836</v>
      </c>
      <c r="E52">
        <v>228868</v>
      </c>
      <c r="F52">
        <v>75321704</v>
      </c>
      <c r="G52">
        <v>4454</v>
      </c>
      <c r="H52">
        <v>3.8580546645089639</v>
      </c>
    </row>
    <row r="53" spans="1:8">
      <c r="A53" t="s">
        <v>87</v>
      </c>
      <c r="B53">
        <v>2024</v>
      </c>
      <c r="C53">
        <v>18718151</v>
      </c>
      <c r="D53">
        <v>73131634</v>
      </c>
      <c r="E53">
        <v>218101</v>
      </c>
      <c r="F53">
        <v>73349735</v>
      </c>
      <c r="G53">
        <v>3854</v>
      </c>
      <c r="H53">
        <v>3.9186421244277811</v>
      </c>
    </row>
    <row r="54" spans="1:8">
      <c r="A54" t="s">
        <v>88</v>
      </c>
      <c r="B54">
        <v>2024</v>
      </c>
      <c r="C54">
        <v>18754389</v>
      </c>
      <c r="D54">
        <v>74156061</v>
      </c>
      <c r="E54">
        <v>225151</v>
      </c>
      <c r="F54">
        <v>74381212</v>
      </c>
      <c r="G54">
        <v>4612</v>
      </c>
      <c r="H54">
        <v>3.9660695957623573</v>
      </c>
    </row>
    <row r="55" spans="1:8">
      <c r="A55" t="s">
        <v>89</v>
      </c>
      <c r="B55">
        <v>2024</v>
      </c>
      <c r="C55">
        <v>19084615</v>
      </c>
      <c r="D55">
        <v>74129085</v>
      </c>
      <c r="E55">
        <v>190933</v>
      </c>
      <c r="F55">
        <v>74320018</v>
      </c>
      <c r="G55">
        <v>3516</v>
      </c>
      <c r="H55">
        <v>3.894237216731907</v>
      </c>
    </row>
    <row r="56" spans="1:8">
      <c r="A56" t="s">
        <v>90</v>
      </c>
      <c r="B56">
        <v>2024</v>
      </c>
      <c r="C56">
        <v>19742451</v>
      </c>
      <c r="D56">
        <v>77870894</v>
      </c>
      <c r="E56">
        <v>171202</v>
      </c>
      <c r="F56">
        <v>78042096</v>
      </c>
      <c r="G56">
        <v>2872</v>
      </c>
      <c r="H56">
        <v>3.9530094819533805</v>
      </c>
    </row>
    <row r="57" spans="1:8">
      <c r="A57" t="s">
        <v>91</v>
      </c>
      <c r="B57">
        <v>2024</v>
      </c>
      <c r="C57">
        <v>19857608</v>
      </c>
      <c r="D57">
        <v>79309552</v>
      </c>
      <c r="E57">
        <v>221027</v>
      </c>
      <c r="F57">
        <v>79530579</v>
      </c>
      <c r="G57">
        <v>4571</v>
      </c>
      <c r="H57">
        <v>4.0050432559651696</v>
      </c>
    </row>
    <row r="58" spans="1:8">
      <c r="A58" t="s">
        <v>92</v>
      </c>
      <c r="B58">
        <v>2024</v>
      </c>
      <c r="C58">
        <v>19219785</v>
      </c>
      <c r="D58">
        <v>77575372</v>
      </c>
      <c r="E58">
        <v>183537</v>
      </c>
      <c r="F58">
        <v>77758909</v>
      </c>
      <c r="G58">
        <v>3786</v>
      </c>
      <c r="H58">
        <v>4.0457741332694406</v>
      </c>
    </row>
    <row r="59" spans="1:8">
      <c r="A59" t="s">
        <v>93</v>
      </c>
      <c r="B59">
        <v>2024</v>
      </c>
      <c r="C59">
        <v>21060449</v>
      </c>
      <c r="D59">
        <v>81754558</v>
      </c>
      <c r="E59">
        <v>212378</v>
      </c>
      <c r="F59">
        <v>81966936</v>
      </c>
      <c r="G59">
        <v>4654</v>
      </c>
      <c r="H59">
        <v>3.8919842592149863</v>
      </c>
    </row>
    <row r="60" spans="1:8">
      <c r="A60" t="s">
        <v>94</v>
      </c>
      <c r="B60">
        <v>2024</v>
      </c>
      <c r="C60">
        <v>20512265</v>
      </c>
      <c r="D60">
        <v>79102023</v>
      </c>
      <c r="E60">
        <v>183652</v>
      </c>
      <c r="F60">
        <v>79285675</v>
      </c>
      <c r="G60">
        <v>4069</v>
      </c>
      <c r="H60">
        <v>3.8652813329000968</v>
      </c>
    </row>
    <row r="61" spans="1:8">
      <c r="A61" t="s">
        <v>95</v>
      </c>
      <c r="B61">
        <v>2024</v>
      </c>
      <c r="C61">
        <v>20833214</v>
      </c>
      <c r="D61">
        <v>81775555</v>
      </c>
      <c r="E61">
        <v>185890</v>
      </c>
      <c r="F61">
        <v>81961445</v>
      </c>
      <c r="G61">
        <v>4100</v>
      </c>
      <c r="H61">
        <v>3.9341718949366142</v>
      </c>
    </row>
    <row r="62" spans="1:8">
      <c r="A62" t="s">
        <v>96</v>
      </c>
      <c r="B62">
        <v>2025</v>
      </c>
      <c r="C62">
        <v>21033946</v>
      </c>
      <c r="D62">
        <v>80481625</v>
      </c>
      <c r="E62">
        <v>197220</v>
      </c>
      <c r="F62">
        <v>80678845</v>
      </c>
      <c r="G62">
        <v>4462</v>
      </c>
      <c r="H62">
        <v>3.8356495257713412</v>
      </c>
    </row>
    <row r="63" spans="1:8">
      <c r="A63" t="s">
        <v>97</v>
      </c>
      <c r="B63">
        <v>2025</v>
      </c>
      <c r="C63">
        <v>18792688</v>
      </c>
      <c r="D63">
        <v>72018103</v>
      </c>
      <c r="E63">
        <v>169250</v>
      </c>
      <c r="F63">
        <v>72187353</v>
      </c>
      <c r="G63">
        <v>3342</v>
      </c>
      <c r="H63">
        <v>3.8412468189755504</v>
      </c>
    </row>
    <row r="64" spans="1:8">
      <c r="A64" t="s">
        <v>98</v>
      </c>
      <c r="B64">
        <v>2025</v>
      </c>
      <c r="C64">
        <v>20452070</v>
      </c>
      <c r="D64">
        <v>79688503</v>
      </c>
      <c r="E64">
        <v>167955</v>
      </c>
      <c r="F64">
        <v>79856458</v>
      </c>
      <c r="G64">
        <v>2247</v>
      </c>
      <c r="H64">
        <v>3.9045660414813756</v>
      </c>
    </row>
    <row r="65" spans="1:8">
      <c r="A65" t="s">
        <v>99</v>
      </c>
      <c r="B65">
        <v>2025</v>
      </c>
      <c r="C65">
        <v>19766733</v>
      </c>
      <c r="D65">
        <v>79293872</v>
      </c>
      <c r="E65">
        <v>252333</v>
      </c>
      <c r="F65">
        <v>79546205</v>
      </c>
      <c r="G65">
        <v>42184</v>
      </c>
      <c r="H65">
        <v>4.0242464447716273</v>
      </c>
    </row>
    <row r="66" spans="1:8">
      <c r="A66" t="s">
        <v>100</v>
      </c>
      <c r="B66">
        <v>2025</v>
      </c>
      <c r="C66">
        <v>20303519</v>
      </c>
      <c r="D66">
        <v>82748088</v>
      </c>
      <c r="E66">
        <v>380877</v>
      </c>
      <c r="F66">
        <v>83128965</v>
      </c>
      <c r="G66">
        <v>59497</v>
      </c>
      <c r="H66">
        <v>4.0943131582264138</v>
      </c>
    </row>
    <row r="67" spans="1:8">
      <c r="A67" t="s">
        <v>101</v>
      </c>
      <c r="B67">
        <v>2025</v>
      </c>
      <c r="C67">
        <v>20198276</v>
      </c>
      <c r="D67">
        <v>81995771</v>
      </c>
      <c r="E67">
        <v>479378</v>
      </c>
      <c r="F67">
        <v>82475149</v>
      </c>
      <c r="G67">
        <v>79837</v>
      </c>
      <c r="H67">
        <v>4.0832766618299505</v>
      </c>
    </row>
    <row r="68" spans="1:8">
      <c r="A68" t="s">
        <v>102</v>
      </c>
      <c r="B68">
        <v>2025</v>
      </c>
      <c r="C68">
        <v>20594624</v>
      </c>
      <c r="D68">
        <v>84669473</v>
      </c>
      <c r="E68">
        <v>581260</v>
      </c>
      <c r="F68">
        <v>85250733</v>
      </c>
      <c r="G68">
        <v>88296</v>
      </c>
      <c r="H68">
        <v>4.1394653769838188</v>
      </c>
    </row>
    <row r="69" spans="1:8">
      <c r="A69" t="s">
        <v>103</v>
      </c>
      <c r="B69">
        <v>2025</v>
      </c>
      <c r="C69">
        <v>20405235</v>
      </c>
      <c r="D69">
        <v>84820251</v>
      </c>
      <c r="E69">
        <v>693893</v>
      </c>
      <c r="F69">
        <v>85514144</v>
      </c>
      <c r="G69">
        <v>106899</v>
      </c>
      <c r="H69">
        <v>4.190794372130485</v>
      </c>
    </row>
    <row r="70" spans="1:8">
      <c r="A70" t="s">
        <v>104</v>
      </c>
      <c r="B70">
        <v>2025</v>
      </c>
      <c r="C70">
        <v>20065013</v>
      </c>
      <c r="D70">
        <v>81878822</v>
      </c>
      <c r="E70">
        <v>685108</v>
      </c>
      <c r="F70">
        <v>82563930</v>
      </c>
      <c r="G70">
        <v>114599</v>
      </c>
      <c r="H70">
        <v>4.114820658227333</v>
      </c>
    </row>
    <row r="71" spans="1:8">
      <c r="A71" t="s">
        <v>105</v>
      </c>
      <c r="B71">
        <v>2025</v>
      </c>
      <c r="C71">
        <v>20503992</v>
      </c>
      <c r="D71">
        <v>83567730</v>
      </c>
      <c r="E71">
        <v>701114</v>
      </c>
      <c r="F71">
        <v>84268844</v>
      </c>
      <c r="G71">
        <v>103520</v>
      </c>
      <c r="H71">
        <v>4.1098749940987105</v>
      </c>
    </row>
    <row r="72" spans="1:8">
      <c r="A72" t="s">
        <v>106</v>
      </c>
      <c r="B72">
        <v>2025</v>
      </c>
      <c r="C72">
        <v>19644692</v>
      </c>
      <c r="D72">
        <v>82136006</v>
      </c>
      <c r="E72">
        <v>536741</v>
      </c>
      <c r="F72">
        <v>82672747</v>
      </c>
      <c r="G72">
        <v>80284</v>
      </c>
      <c r="H72">
        <v>4.2084012821376886</v>
      </c>
    </row>
    <row r="73" spans="1:8">
      <c r="A73" t="s">
        <v>107</v>
      </c>
      <c r="B73">
        <v>2025</v>
      </c>
      <c r="C73">
        <v>19931297</v>
      </c>
      <c r="D73">
        <v>83875874</v>
      </c>
      <c r="E73">
        <v>585007</v>
      </c>
      <c r="F73">
        <v>84460881</v>
      </c>
      <c r="G73">
        <v>79713</v>
      </c>
      <c r="H73">
        <v>4.2376008445411255</v>
      </c>
    </row>
    <row r="74" spans="1:8">
      <c r="A74" t="s">
        <v>108</v>
      </c>
      <c r="B74">
        <v>2026</v>
      </c>
      <c r="C74">
        <v>19020174</v>
      </c>
      <c r="D74">
        <v>77704772</v>
      </c>
      <c r="E74">
        <v>544357</v>
      </c>
      <c r="F74">
        <v>78249129</v>
      </c>
      <c r="G74">
        <v>69899</v>
      </c>
      <c r="H74">
        <v>4.1140070011977805</v>
      </c>
    </row>
    <row r="75" spans="1:8">
      <c r="A75" t="s">
        <v>109</v>
      </c>
      <c r="B75">
        <v>2026</v>
      </c>
      <c r="C75">
        <v>17870493</v>
      </c>
      <c r="D75">
        <v>71829506</v>
      </c>
      <c r="E75">
        <v>471787</v>
      </c>
      <c r="F75">
        <v>72301293</v>
      </c>
      <c r="G75">
        <v>38570</v>
      </c>
      <c r="H75">
        <v>4.0458476998927786</v>
      </c>
    </row>
    <row r="76" spans="1:8">
      <c r="A76" t="s">
        <v>110</v>
      </c>
      <c r="B76">
        <v>2026</v>
      </c>
      <c r="C76">
        <v>19110986</v>
      </c>
      <c r="D76">
        <v>81574307</v>
      </c>
      <c r="E76">
        <v>496078</v>
      </c>
      <c r="F76">
        <v>82070385</v>
      </c>
      <c r="G76">
        <v>80249</v>
      </c>
      <c r="H76">
        <v>4.2944087238617623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3.8"/>
  <cols>
    <col min="1" max="1" width="5.3984375" customWidth="1"/>
    <col min="2" max="2" width="16.296875" customWidth="1"/>
    <col min="3" max="3" width="9.3984375" customWidth="1"/>
    <col min="4" max="4" width="14" customWidth="1"/>
    <col min="5" max="5" width="15.59765625" customWidth="1"/>
    <col min="6" max="6" width="15.5" customWidth="1"/>
  </cols>
  <sheetData>
    <row r="1" spans="1:6">
      <c r="A1" s="1" t="s">
        <v>29</v>
      </c>
      <c r="B1" s="1" t="s">
        <v>111</v>
      </c>
      <c r="C1" s="6" t="s">
        <v>30</v>
      </c>
      <c r="D1" s="6" t="s">
        <v>33</v>
      </c>
      <c r="E1" s="6" t="s">
        <v>34</v>
      </c>
      <c r="F1" s="6" t="s">
        <v>35</v>
      </c>
    </row>
    <row r="2" spans="1:6">
      <c r="A2">
        <v>2020</v>
      </c>
      <c r="B2">
        <v>12</v>
      </c>
      <c r="C2">
        <v>191675933</v>
      </c>
      <c r="D2">
        <v>549802603</v>
      </c>
      <c r="E2">
        <v>68507</v>
      </c>
      <c r="F2">
        <v>2.8683966442464115</v>
      </c>
    </row>
    <row r="3" spans="1:6">
      <c r="A3">
        <v>2021</v>
      </c>
      <c r="B3">
        <v>12</v>
      </c>
      <c r="C3">
        <v>199143122</v>
      </c>
      <c r="D3">
        <v>630968700</v>
      </c>
      <c r="E3">
        <v>69577</v>
      </c>
      <c r="F3">
        <v>3.168418239420792</v>
      </c>
    </row>
    <row r="4" spans="1:6">
      <c r="A4">
        <v>2022</v>
      </c>
      <c r="B4">
        <v>12</v>
      </c>
      <c r="C4">
        <v>221678081</v>
      </c>
      <c r="D4">
        <v>720013945</v>
      </c>
      <c r="E4">
        <v>63259</v>
      </c>
      <c r="F4">
        <v>3.2480159596834475</v>
      </c>
    </row>
    <row r="5" spans="1:6">
      <c r="A5">
        <v>2023</v>
      </c>
      <c r="B5">
        <v>12</v>
      </c>
      <c r="C5">
        <v>234518111</v>
      </c>
      <c r="D5">
        <v>829080596</v>
      </c>
      <c r="E5">
        <v>59219</v>
      </c>
      <c r="F5">
        <v>3.5352518936160116</v>
      </c>
    </row>
    <row r="6" spans="1:6">
      <c r="A6">
        <v>2024</v>
      </c>
      <c r="B6">
        <v>12</v>
      </c>
      <c r="C6">
        <v>234762267</v>
      </c>
      <c r="D6">
        <v>915274251</v>
      </c>
      <c r="E6">
        <v>50801</v>
      </c>
      <c r="F6">
        <v>3.8987281163032899</v>
      </c>
    </row>
    <row r="7" spans="1:6">
      <c r="A7">
        <v>2025</v>
      </c>
      <c r="B7">
        <v>12</v>
      </c>
      <c r="C7">
        <v>241692085</v>
      </c>
      <c r="D7">
        <v>982604254</v>
      </c>
      <c r="E7">
        <v>764880</v>
      </c>
      <c r="F7">
        <v>4.0655210285434045</v>
      </c>
    </row>
    <row r="8" spans="1:6">
      <c r="A8">
        <v>2026</v>
      </c>
      <c r="B8">
        <v>3</v>
      </c>
      <c r="C8">
        <v>56001653</v>
      </c>
      <c r="D8">
        <v>232620807</v>
      </c>
      <c r="E8">
        <v>188718</v>
      </c>
      <c r="F8">
        <v>4.1538203702665708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selection activeCell="F32" sqref="F32"/>
    </sheetView>
  </sheetViews>
  <sheetFormatPr defaultRowHeight="13.8"/>
  <cols>
    <col min="1" max="1" width="4" customWidth="1"/>
    <col min="2" max="2" width="29.3984375" customWidth="1"/>
    <col min="3" max="3" width="10.5" customWidth="1"/>
    <col min="4" max="4" width="13.19921875" customWidth="1"/>
    <col min="5" max="5" width="13.796875" customWidth="1"/>
    <col min="6" max="6" width="17.5" customWidth="1"/>
    <col min="7" max="7" width="14.8984375" customWidth="1"/>
    <col min="8" max="8" width="17.796875" customWidth="1"/>
  </cols>
  <sheetData>
    <row r="1" spans="1:8">
      <c r="A1" s="1" t="s">
        <v>112</v>
      </c>
      <c r="B1" s="1" t="s">
        <v>113</v>
      </c>
      <c r="C1" s="1" t="s">
        <v>114</v>
      </c>
      <c r="D1" s="6" t="s">
        <v>30</v>
      </c>
      <c r="E1" s="6" t="s">
        <v>33</v>
      </c>
      <c r="F1" s="6" t="s">
        <v>34</v>
      </c>
      <c r="G1" s="6" t="s">
        <v>35</v>
      </c>
      <c r="H1" s="7" t="s">
        <v>115</v>
      </c>
    </row>
    <row r="2" spans="1:8">
      <c r="A2">
        <v>1</v>
      </c>
      <c r="B2" t="s">
        <v>15</v>
      </c>
      <c r="C2" t="s">
        <v>116</v>
      </c>
      <c r="D2">
        <v>1119241146</v>
      </c>
      <c r="E2">
        <v>3628915534</v>
      </c>
      <c r="F2">
        <v>8176</v>
      </c>
      <c r="G2">
        <v>3.2422999699119353</v>
      </c>
      <c r="H2">
        <v>0.81135518002081564</v>
      </c>
    </row>
    <row r="3" spans="1:8">
      <c r="A3">
        <v>2</v>
      </c>
      <c r="B3" t="s">
        <v>117</v>
      </c>
      <c r="C3" t="s">
        <v>118</v>
      </c>
      <c r="D3">
        <v>129676142</v>
      </c>
      <c r="E3">
        <v>787274092</v>
      </c>
      <c r="F3">
        <v>2046</v>
      </c>
      <c r="G3">
        <v>6.0710789190505068</v>
      </c>
      <c r="H3">
        <v>9.4004236631964264E-2</v>
      </c>
    </row>
    <row r="4" spans="1:8">
      <c r="A4">
        <v>3</v>
      </c>
      <c r="B4" t="s">
        <v>119</v>
      </c>
      <c r="C4" t="s">
        <v>120</v>
      </c>
      <c r="D4">
        <v>108221412</v>
      </c>
      <c r="E4">
        <v>294759617</v>
      </c>
      <c r="F4">
        <v>70476</v>
      </c>
      <c r="G4">
        <v>2.7236718829726598</v>
      </c>
      <c r="H4">
        <v>7.8451371743410575E-2</v>
      </c>
    </row>
    <row r="5" spans="1:8">
      <c r="A5">
        <v>4</v>
      </c>
      <c r="B5" t="s">
        <v>121</v>
      </c>
      <c r="C5" t="s">
        <v>122</v>
      </c>
      <c r="D5">
        <v>14920092</v>
      </c>
      <c r="E5">
        <v>87644426</v>
      </c>
      <c r="F5">
        <v>2255</v>
      </c>
      <c r="G5">
        <v>5.8742550649151495</v>
      </c>
      <c r="H5">
        <v>1.0815804953070525E-2</v>
      </c>
    </row>
    <row r="6" spans="1:8">
      <c r="A6">
        <v>5</v>
      </c>
      <c r="B6" t="s">
        <v>123</v>
      </c>
      <c r="C6" t="s">
        <v>124</v>
      </c>
      <c r="D6">
        <v>1562968</v>
      </c>
      <c r="E6">
        <v>11774484</v>
      </c>
      <c r="F6">
        <v>903748</v>
      </c>
      <c r="G6">
        <v>7.5334133520327988</v>
      </c>
      <c r="H6">
        <v>1.1330196245365467E-3</v>
      </c>
    </row>
    <row r="7" spans="1:8">
      <c r="A7">
        <v>6</v>
      </c>
      <c r="B7" t="s">
        <v>125</v>
      </c>
      <c r="C7" t="s">
        <v>126</v>
      </c>
      <c r="D7">
        <v>1524912</v>
      </c>
      <c r="E7">
        <v>9569679</v>
      </c>
      <c r="F7">
        <v>21343</v>
      </c>
      <c r="G7">
        <v>6.2755614750228208</v>
      </c>
      <c r="H7">
        <v>1.1054322428170472E-3</v>
      </c>
    </row>
    <row r="8" spans="1:8">
      <c r="A8">
        <v>7</v>
      </c>
      <c r="B8" t="s">
        <v>15</v>
      </c>
      <c r="C8" t="s">
        <v>127</v>
      </c>
      <c r="D8">
        <v>1425332</v>
      </c>
      <c r="E8">
        <v>3369559</v>
      </c>
      <c r="F8">
        <v>0</v>
      </c>
      <c r="G8">
        <v>2.3640520243704626</v>
      </c>
      <c r="H8">
        <v>1.0332451639956321E-3</v>
      </c>
    </row>
    <row r="9" spans="1:8">
      <c r="A9">
        <v>8</v>
      </c>
      <c r="B9" t="s">
        <v>117</v>
      </c>
      <c r="C9" t="s">
        <v>128</v>
      </c>
      <c r="D9">
        <v>703093</v>
      </c>
      <c r="E9">
        <v>12792270</v>
      </c>
      <c r="F9">
        <v>0</v>
      </c>
      <c r="G9">
        <v>18.194278708506555</v>
      </c>
      <c r="H9">
        <v>5.0968296655739219E-4</v>
      </c>
    </row>
    <row r="10" spans="1:8">
      <c r="A10">
        <v>9</v>
      </c>
      <c r="B10" t="s">
        <v>129</v>
      </c>
      <c r="C10" t="s">
        <v>130</v>
      </c>
      <c r="D10">
        <v>275137</v>
      </c>
      <c r="E10">
        <v>33697</v>
      </c>
      <c r="F10">
        <v>0</v>
      </c>
      <c r="G10">
        <v>0.1224735313680094</v>
      </c>
      <c r="H10">
        <v>1.9945105749836968E-4</v>
      </c>
    </row>
    <row r="11" spans="1:8">
      <c r="A11">
        <v>10</v>
      </c>
      <c r="B11" t="s">
        <v>131</v>
      </c>
      <c r="C11" t="s">
        <v>132</v>
      </c>
      <c r="D11">
        <v>267373</v>
      </c>
      <c r="E11">
        <v>1986730</v>
      </c>
      <c r="F11">
        <v>0</v>
      </c>
      <c r="G11">
        <v>7.4305558152842659</v>
      </c>
      <c r="H11">
        <v>1.9382281407630234E-4</v>
      </c>
    </row>
    <row r="12" spans="1:8">
      <c r="A12">
        <v>11</v>
      </c>
      <c r="B12" t="s">
        <v>133</v>
      </c>
      <c r="C12" t="s">
        <v>134</v>
      </c>
      <c r="D12">
        <v>212153</v>
      </c>
      <c r="E12">
        <v>375175</v>
      </c>
      <c r="F12">
        <v>0</v>
      </c>
      <c r="G12">
        <v>1.7684171329182241</v>
      </c>
      <c r="H12">
        <v>1.5379298386422626E-4</v>
      </c>
    </row>
    <row r="13" spans="1:8">
      <c r="A13">
        <v>12</v>
      </c>
      <c r="B13" t="s">
        <v>135</v>
      </c>
      <c r="C13" t="s">
        <v>136</v>
      </c>
      <c r="D13">
        <v>176171</v>
      </c>
      <c r="E13">
        <v>3420</v>
      </c>
      <c r="F13">
        <v>0</v>
      </c>
      <c r="G13">
        <v>1.9412956729541183E-2</v>
      </c>
      <c r="H13">
        <v>1.2770907675283688E-4</v>
      </c>
    </row>
    <row r="14" spans="1:8">
      <c r="A14">
        <v>13</v>
      </c>
      <c r="B14" t="s">
        <v>137</v>
      </c>
      <c r="C14" t="s">
        <v>138</v>
      </c>
      <c r="D14">
        <v>135551</v>
      </c>
      <c r="E14">
        <v>968929</v>
      </c>
      <c r="F14">
        <v>0</v>
      </c>
      <c r="G14">
        <v>7.1480771075093505</v>
      </c>
      <c r="H14">
        <v>9.826301186304099E-5</v>
      </c>
    </row>
    <row r="15" spans="1:8">
      <c r="A15">
        <v>14</v>
      </c>
      <c r="B15" t="s">
        <v>139</v>
      </c>
      <c r="C15" t="s">
        <v>140</v>
      </c>
      <c r="D15">
        <v>116009</v>
      </c>
      <c r="E15">
        <v>665421</v>
      </c>
      <c r="F15">
        <v>0</v>
      </c>
      <c r="G15">
        <v>5.7359429009818204</v>
      </c>
      <c r="H15">
        <v>8.4096714470712291E-5</v>
      </c>
    </row>
    <row r="16" spans="1:8">
      <c r="A16">
        <v>15</v>
      </c>
      <c r="B16" t="s">
        <v>141</v>
      </c>
      <c r="C16" t="s">
        <v>142</v>
      </c>
      <c r="D16">
        <v>108619</v>
      </c>
      <c r="E16">
        <v>348871</v>
      </c>
      <c r="F16">
        <v>0</v>
      </c>
      <c r="G16">
        <v>3.2118782165182886</v>
      </c>
      <c r="H16">
        <v>7.8739589420599249E-5</v>
      </c>
    </row>
    <row r="17" spans="1:8">
      <c r="A17">
        <v>16</v>
      </c>
      <c r="B17" t="s">
        <v>143</v>
      </c>
      <c r="C17" t="s">
        <v>144</v>
      </c>
      <c r="D17">
        <v>79613</v>
      </c>
      <c r="E17">
        <v>2003</v>
      </c>
      <c r="F17">
        <v>0</v>
      </c>
      <c r="G17">
        <v>2.5159207667089546E-2</v>
      </c>
      <c r="H17">
        <v>5.7712692370047301E-5</v>
      </c>
    </row>
    <row r="18" spans="1:8">
      <c r="A18">
        <v>17</v>
      </c>
      <c r="B18" t="s">
        <v>145</v>
      </c>
      <c r="C18" t="s">
        <v>146</v>
      </c>
      <c r="D18">
        <v>71626</v>
      </c>
      <c r="E18">
        <v>0</v>
      </c>
      <c r="F18">
        <v>0</v>
      </c>
      <c r="G18">
        <v>0</v>
      </c>
      <c r="H18">
        <v>5.1922792806413626E-5</v>
      </c>
    </row>
    <row r="19" spans="1:8">
      <c r="A19">
        <v>18</v>
      </c>
      <c r="B19" t="s">
        <v>147</v>
      </c>
      <c r="C19" t="s">
        <v>148</v>
      </c>
      <c r="D19">
        <v>68959</v>
      </c>
      <c r="E19">
        <v>336061</v>
      </c>
      <c r="F19">
        <v>1256</v>
      </c>
      <c r="G19">
        <v>4.8733450311054396</v>
      </c>
      <c r="H19">
        <v>4.9989443346514915E-5</v>
      </c>
    </row>
    <row r="20" spans="1:8">
      <c r="A20">
        <v>19</v>
      </c>
      <c r="B20" t="s">
        <v>149</v>
      </c>
      <c r="C20" t="s">
        <v>150</v>
      </c>
      <c r="D20">
        <v>66253</v>
      </c>
      <c r="E20">
        <v>94239</v>
      </c>
      <c r="F20">
        <v>0</v>
      </c>
      <c r="G20">
        <v>1.4224110606312168</v>
      </c>
      <c r="H20">
        <v>4.8027822184727919E-5</v>
      </c>
    </row>
    <row r="21" spans="1:8">
      <c r="A21">
        <v>20</v>
      </c>
      <c r="B21" t="s">
        <v>151</v>
      </c>
      <c r="C21" t="s">
        <v>152</v>
      </c>
      <c r="D21">
        <v>50908</v>
      </c>
      <c r="E21">
        <v>0</v>
      </c>
      <c r="F21">
        <v>0</v>
      </c>
      <c r="G21">
        <v>0</v>
      </c>
      <c r="H21">
        <v>3.6903994864838259E-5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/>
  </sheetViews>
  <sheetFormatPr defaultRowHeight="13.8"/>
  <cols>
    <col min="1" max="1" width="4" customWidth="1"/>
    <col min="2" max="2" width="32.5" customWidth="1"/>
    <col min="3" max="3" width="12.796875" customWidth="1"/>
    <col min="4" max="4" width="11.3984375" customWidth="1"/>
    <col min="5" max="5" width="15.796875" customWidth="1"/>
    <col min="6" max="6" width="17.796875" customWidth="1"/>
    <col min="7" max="7" width="14.8984375" customWidth="1"/>
    <col min="8" max="8" width="19.19921875" customWidth="1"/>
  </cols>
  <sheetData>
    <row r="1" spans="1:8">
      <c r="A1" s="1" t="s">
        <v>112</v>
      </c>
      <c r="B1" s="1" t="s">
        <v>153</v>
      </c>
      <c r="C1" s="1" t="s">
        <v>154</v>
      </c>
      <c r="D1" s="6" t="s">
        <v>30</v>
      </c>
      <c r="E1" s="6" t="s">
        <v>33</v>
      </c>
      <c r="F1" s="6" t="s">
        <v>34</v>
      </c>
      <c r="G1" s="6" t="s">
        <v>35</v>
      </c>
      <c r="H1" s="7" t="s">
        <v>115</v>
      </c>
    </row>
    <row r="2" spans="1:8">
      <c r="A2">
        <v>1</v>
      </c>
      <c r="B2" t="s">
        <v>17</v>
      </c>
      <c r="C2" t="s">
        <v>155</v>
      </c>
      <c r="D2">
        <v>461756167</v>
      </c>
      <c r="E2">
        <v>1573697233</v>
      </c>
      <c r="F2">
        <v>63571</v>
      </c>
      <c r="G2">
        <v>3.4080697681293772</v>
      </c>
      <c r="H2">
        <v>0.33473417175641151</v>
      </c>
    </row>
    <row r="3" spans="1:8">
      <c r="A3">
        <v>2</v>
      </c>
      <c r="B3" t="s">
        <v>156</v>
      </c>
      <c r="C3" t="s">
        <v>157</v>
      </c>
      <c r="D3">
        <v>151813457</v>
      </c>
      <c r="E3">
        <v>437944654</v>
      </c>
      <c r="F3">
        <v>35429</v>
      </c>
      <c r="G3">
        <v>2.8847551637006723</v>
      </c>
      <c r="H3">
        <v>0.1100519179213747</v>
      </c>
    </row>
    <row r="4" spans="1:8">
      <c r="A4">
        <v>3</v>
      </c>
      <c r="B4" t="s">
        <v>158</v>
      </c>
      <c r="C4" t="s">
        <v>159</v>
      </c>
      <c r="D4">
        <v>144255030</v>
      </c>
      <c r="E4">
        <v>698852985</v>
      </c>
      <c r="F4">
        <v>68304</v>
      </c>
      <c r="G4">
        <v>4.8445658012756994</v>
      </c>
      <c r="H4">
        <v>0.10457269753962223</v>
      </c>
    </row>
    <row r="5" spans="1:8">
      <c r="A5">
        <v>4</v>
      </c>
      <c r="B5" t="s">
        <v>160</v>
      </c>
      <c r="C5" t="s">
        <v>161</v>
      </c>
      <c r="D5">
        <v>114741932</v>
      </c>
      <c r="E5">
        <v>359035478</v>
      </c>
      <c r="F5">
        <v>5096</v>
      </c>
      <c r="G5">
        <v>3.129069484379956</v>
      </c>
      <c r="H5">
        <v>8.3178197322810177E-2</v>
      </c>
    </row>
    <row r="6" spans="1:8">
      <c r="A6">
        <v>5</v>
      </c>
      <c r="B6" t="s">
        <v>162</v>
      </c>
      <c r="C6" t="s">
        <v>163</v>
      </c>
      <c r="D6">
        <v>111512115</v>
      </c>
      <c r="E6">
        <v>469461067</v>
      </c>
      <c r="F6">
        <v>4366</v>
      </c>
      <c r="G6">
        <v>4.2099557254384425</v>
      </c>
      <c r="H6">
        <v>8.0836853133638198E-2</v>
      </c>
    </row>
    <row r="7" spans="1:8">
      <c r="A7">
        <v>6</v>
      </c>
      <c r="B7" t="s">
        <v>164</v>
      </c>
      <c r="C7" t="s">
        <v>165</v>
      </c>
      <c r="D7">
        <v>80378990</v>
      </c>
      <c r="E7">
        <v>270902918</v>
      </c>
      <c r="F7">
        <v>2705</v>
      </c>
      <c r="G7">
        <v>3.3703200052650573</v>
      </c>
      <c r="H7">
        <v>5.8267970342596162E-2</v>
      </c>
    </row>
    <row r="8" spans="1:8">
      <c r="A8">
        <v>7</v>
      </c>
      <c r="B8" t="s">
        <v>166</v>
      </c>
      <c r="C8" t="s">
        <v>167</v>
      </c>
      <c r="D8">
        <v>59634834</v>
      </c>
      <c r="E8">
        <v>186858394</v>
      </c>
      <c r="F8">
        <v>30920</v>
      </c>
      <c r="G8">
        <v>3.1333766100531109</v>
      </c>
      <c r="H8">
        <v>4.3230211512954385E-2</v>
      </c>
    </row>
    <row r="9" spans="1:8">
      <c r="A9">
        <v>8</v>
      </c>
      <c r="B9" t="s">
        <v>168</v>
      </c>
      <c r="C9" t="s">
        <v>169</v>
      </c>
      <c r="D9">
        <v>45012707</v>
      </c>
      <c r="E9">
        <v>235748375</v>
      </c>
      <c r="F9">
        <v>6388</v>
      </c>
      <c r="G9">
        <v>5.2373738597858601</v>
      </c>
      <c r="H9">
        <v>3.2630405986887503E-2</v>
      </c>
    </row>
    <row r="10" spans="1:8">
      <c r="A10">
        <v>9</v>
      </c>
      <c r="B10" t="s">
        <v>170</v>
      </c>
      <c r="C10" t="s">
        <v>171</v>
      </c>
      <c r="D10">
        <v>36465637</v>
      </c>
      <c r="E10">
        <v>139906375</v>
      </c>
      <c r="F10">
        <v>6696</v>
      </c>
      <c r="G10">
        <v>3.8366634045087435</v>
      </c>
      <c r="H10">
        <v>2.6434503036675099E-2</v>
      </c>
    </row>
    <row r="11" spans="1:8">
      <c r="A11">
        <v>10</v>
      </c>
      <c r="B11" t="s">
        <v>172</v>
      </c>
      <c r="C11" t="s">
        <v>173</v>
      </c>
      <c r="D11">
        <v>32774650</v>
      </c>
      <c r="E11">
        <v>70023183</v>
      </c>
      <c r="F11">
        <v>0</v>
      </c>
      <c r="G11">
        <v>2.1365043715188414</v>
      </c>
      <c r="H11">
        <v>2.3758849597251337E-2</v>
      </c>
    </row>
    <row r="12" spans="1:8">
      <c r="A12">
        <v>11</v>
      </c>
      <c r="B12" t="s">
        <v>174</v>
      </c>
      <c r="C12" t="s">
        <v>175</v>
      </c>
      <c r="D12">
        <v>20428859</v>
      </c>
      <c r="E12">
        <v>39904857</v>
      </c>
      <c r="F12">
        <v>0</v>
      </c>
      <c r="G12">
        <v>1.9533571111338133</v>
      </c>
      <c r="H12">
        <v>1.4809195168352808E-2</v>
      </c>
    </row>
    <row r="13" spans="1:8">
      <c r="A13">
        <v>12</v>
      </c>
      <c r="B13" t="s">
        <v>176</v>
      </c>
      <c r="C13" t="s">
        <v>177</v>
      </c>
      <c r="D13">
        <v>17832341</v>
      </c>
      <c r="E13">
        <v>85220544</v>
      </c>
      <c r="F13">
        <v>1961</v>
      </c>
      <c r="G13">
        <v>4.7789880195763415</v>
      </c>
      <c r="H13">
        <v>1.2926939198005121E-2</v>
      </c>
    </row>
    <row r="14" spans="1:8">
      <c r="A14">
        <v>13</v>
      </c>
      <c r="B14" t="s">
        <v>178</v>
      </c>
      <c r="C14" t="s">
        <v>179</v>
      </c>
      <c r="D14">
        <v>10839776</v>
      </c>
      <c r="E14">
        <v>34576107</v>
      </c>
      <c r="F14">
        <v>649354</v>
      </c>
      <c r="G14">
        <v>3.1897436810502358</v>
      </c>
      <c r="H14">
        <v>7.8579209130195046E-3</v>
      </c>
    </row>
    <row r="15" spans="1:8">
      <c r="A15">
        <v>14</v>
      </c>
      <c r="B15" t="s">
        <v>180</v>
      </c>
      <c r="C15" t="s">
        <v>181</v>
      </c>
      <c r="D15">
        <v>10385301</v>
      </c>
      <c r="E15">
        <v>15851610</v>
      </c>
      <c r="F15">
        <v>258</v>
      </c>
      <c r="G15">
        <v>1.5263505602774536</v>
      </c>
      <c r="H15">
        <v>7.5284649715918837E-3</v>
      </c>
    </row>
    <row r="16" spans="1:8">
      <c r="A16">
        <v>15</v>
      </c>
      <c r="B16" t="s">
        <v>182</v>
      </c>
      <c r="C16" t="s">
        <v>183</v>
      </c>
      <c r="D16">
        <v>9171814</v>
      </c>
      <c r="E16">
        <v>27955023</v>
      </c>
      <c r="F16">
        <v>0</v>
      </c>
      <c r="G16">
        <v>3.0479273783790206</v>
      </c>
      <c r="H16">
        <v>6.6487895175071036E-3</v>
      </c>
    </row>
    <row r="17" spans="1:8">
      <c r="A17">
        <v>16</v>
      </c>
      <c r="B17" t="s">
        <v>184</v>
      </c>
      <c r="C17" t="s">
        <v>185</v>
      </c>
      <c r="D17">
        <v>8922860</v>
      </c>
      <c r="E17">
        <v>18352051</v>
      </c>
      <c r="F17">
        <v>0</v>
      </c>
      <c r="G17">
        <v>2.0567453708788439</v>
      </c>
      <c r="H17">
        <v>6.4683189207918341E-3</v>
      </c>
    </row>
    <row r="18" spans="1:8">
      <c r="A18">
        <v>17</v>
      </c>
      <c r="B18" t="s">
        <v>186</v>
      </c>
      <c r="C18" t="s">
        <v>187</v>
      </c>
      <c r="D18">
        <v>8109019</v>
      </c>
      <c r="E18">
        <v>17478001</v>
      </c>
      <c r="F18">
        <v>0</v>
      </c>
      <c r="G18">
        <v>2.1553779809863562</v>
      </c>
      <c r="H18">
        <v>5.8783530198569158E-3</v>
      </c>
    </row>
    <row r="19" spans="1:8">
      <c r="A19">
        <v>18</v>
      </c>
      <c r="B19" t="s">
        <v>188</v>
      </c>
      <c r="C19" t="s">
        <v>189</v>
      </c>
      <c r="D19">
        <v>7770543</v>
      </c>
      <c r="E19">
        <v>30027619</v>
      </c>
      <c r="F19">
        <v>0</v>
      </c>
      <c r="G19">
        <v>3.8642883772729912</v>
      </c>
      <c r="H19">
        <v>5.6329865437456756E-3</v>
      </c>
    </row>
    <row r="20" spans="1:8">
      <c r="A20">
        <v>19</v>
      </c>
      <c r="B20" t="s">
        <v>190</v>
      </c>
      <c r="C20" t="s">
        <v>191</v>
      </c>
      <c r="D20">
        <v>6987718</v>
      </c>
      <c r="E20">
        <v>14738920</v>
      </c>
      <c r="F20">
        <v>15585</v>
      </c>
      <c r="G20">
        <v>2.1092608488207452</v>
      </c>
      <c r="H20">
        <v>5.0655046198817052E-3</v>
      </c>
    </row>
    <row r="21" spans="1:8">
      <c r="A21">
        <v>20</v>
      </c>
      <c r="B21" t="s">
        <v>192</v>
      </c>
      <c r="C21" t="s">
        <v>193</v>
      </c>
      <c r="D21">
        <v>5061420</v>
      </c>
      <c r="E21">
        <v>13870085</v>
      </c>
      <c r="F21">
        <v>0</v>
      </c>
      <c r="G21">
        <v>2.7403544855001165</v>
      </c>
      <c r="H21">
        <v>3.6691014710613194E-3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/>
  </sheetViews>
  <sheetFormatPr defaultRowHeight="13.8"/>
  <cols>
    <col min="1" max="1" width="4" customWidth="1"/>
    <col min="2" max="2" width="24.796875" customWidth="1"/>
    <col min="3" max="3" width="10.796875" customWidth="1"/>
    <col min="4" max="4" width="14.19921875" customWidth="1"/>
    <col min="5" max="5" width="16.19921875" customWidth="1"/>
    <col min="6" max="6" width="17.09765625" customWidth="1"/>
    <col min="7" max="7" width="14.59765625" customWidth="1"/>
    <col min="8" max="8" width="20" customWidth="1"/>
  </cols>
  <sheetData>
    <row r="1" spans="1:8">
      <c r="A1" s="1" t="s">
        <v>112</v>
      </c>
      <c r="B1" s="1" t="s">
        <v>194</v>
      </c>
      <c r="C1" s="1" t="s">
        <v>195</v>
      </c>
      <c r="D1" s="6" t="s">
        <v>30</v>
      </c>
      <c r="E1" s="6" t="s">
        <v>33</v>
      </c>
      <c r="F1" s="6" t="s">
        <v>34</v>
      </c>
      <c r="G1" s="6" t="s">
        <v>35</v>
      </c>
      <c r="H1" s="7" t="s">
        <v>115</v>
      </c>
    </row>
    <row r="2" spans="1:8">
      <c r="A2">
        <v>1</v>
      </c>
      <c r="B2" t="s">
        <v>196</v>
      </c>
      <c r="C2" t="s">
        <v>197</v>
      </c>
      <c r="D2">
        <v>18773680</v>
      </c>
      <c r="E2">
        <v>79591550</v>
      </c>
      <c r="F2">
        <v>0</v>
      </c>
      <c r="G2">
        <v>4.2395284249012448</v>
      </c>
      <c r="H2">
        <v>1.3609330366820866E-2</v>
      </c>
    </row>
    <row r="3" spans="1:8">
      <c r="A3">
        <v>2</v>
      </c>
      <c r="B3" t="s">
        <v>198</v>
      </c>
      <c r="C3" t="s">
        <v>199</v>
      </c>
      <c r="D3">
        <v>13745848</v>
      </c>
      <c r="E3">
        <v>41746441</v>
      </c>
      <c r="F3">
        <v>0</v>
      </c>
      <c r="G3">
        <v>3.0370218701676319</v>
      </c>
      <c r="H3">
        <v>9.9645773553242566E-3</v>
      </c>
    </row>
    <row r="4" spans="1:8">
      <c r="A4">
        <v>3</v>
      </c>
      <c r="B4" t="s">
        <v>200</v>
      </c>
      <c r="C4" t="s">
        <v>201</v>
      </c>
      <c r="D4">
        <v>11007423</v>
      </c>
      <c r="E4">
        <v>29688179</v>
      </c>
      <c r="F4">
        <v>0</v>
      </c>
      <c r="G4">
        <v>2.6971053079362899</v>
      </c>
      <c r="H4">
        <v>7.9794508106211699E-3</v>
      </c>
    </row>
    <row r="5" spans="1:8">
      <c r="A5">
        <v>4</v>
      </c>
      <c r="B5" t="s">
        <v>202</v>
      </c>
      <c r="C5" t="s">
        <v>203</v>
      </c>
      <c r="D5">
        <v>8536846</v>
      </c>
      <c r="E5">
        <v>17812571</v>
      </c>
      <c r="F5">
        <v>0</v>
      </c>
      <c r="G5">
        <v>2.0865517545941441</v>
      </c>
      <c r="H5">
        <v>6.188491414825077E-3</v>
      </c>
    </row>
    <row r="6" spans="1:8">
      <c r="A6">
        <v>5</v>
      </c>
      <c r="B6" t="s">
        <v>204</v>
      </c>
      <c r="C6" t="s">
        <v>205</v>
      </c>
      <c r="D6">
        <v>8223656</v>
      </c>
      <c r="E6">
        <v>15634889</v>
      </c>
      <c r="F6">
        <v>0</v>
      </c>
      <c r="G6">
        <v>1.9012090243074369</v>
      </c>
      <c r="H6">
        <v>5.9614551503535066E-3</v>
      </c>
    </row>
    <row r="7" spans="1:8">
      <c r="A7">
        <v>6</v>
      </c>
      <c r="B7" t="s">
        <v>206</v>
      </c>
      <c r="C7" t="s">
        <v>207</v>
      </c>
      <c r="D7">
        <v>7595628</v>
      </c>
      <c r="E7">
        <v>51123303</v>
      </c>
      <c r="F7">
        <v>0</v>
      </c>
      <c r="G7">
        <v>6.730622273760642</v>
      </c>
      <c r="H7">
        <v>5.5061879607767282E-3</v>
      </c>
    </row>
    <row r="8" spans="1:8">
      <c r="A8">
        <v>7</v>
      </c>
      <c r="B8" t="s">
        <v>208</v>
      </c>
      <c r="C8" t="s">
        <v>209</v>
      </c>
      <c r="D8">
        <v>7453582</v>
      </c>
      <c r="E8">
        <v>27339206</v>
      </c>
      <c r="F8">
        <v>0</v>
      </c>
      <c r="G8">
        <v>3.667928520810531</v>
      </c>
      <c r="H8">
        <v>5.4032166231761389E-3</v>
      </c>
    </row>
    <row r="9" spans="1:8">
      <c r="A9">
        <v>8</v>
      </c>
      <c r="B9" t="s">
        <v>210</v>
      </c>
      <c r="C9" t="s">
        <v>211</v>
      </c>
      <c r="D9">
        <v>7135703</v>
      </c>
      <c r="E9">
        <v>25240577</v>
      </c>
      <c r="F9">
        <v>0</v>
      </c>
      <c r="G9">
        <v>3.5372235924056818</v>
      </c>
      <c r="H9">
        <v>5.1727812302390774E-3</v>
      </c>
    </row>
    <row r="10" spans="1:8">
      <c r="A10">
        <v>9</v>
      </c>
      <c r="B10" t="s">
        <v>212</v>
      </c>
      <c r="C10" t="s">
        <v>213</v>
      </c>
      <c r="D10">
        <v>6668492</v>
      </c>
      <c r="E10">
        <v>35217798</v>
      </c>
      <c r="F10">
        <v>0</v>
      </c>
      <c r="G10">
        <v>5.2812237009506795</v>
      </c>
      <c r="H10">
        <v>4.8340927658563487E-3</v>
      </c>
    </row>
    <row r="11" spans="1:8">
      <c r="A11">
        <v>10</v>
      </c>
      <c r="B11" t="s">
        <v>214</v>
      </c>
      <c r="C11" t="s">
        <v>215</v>
      </c>
      <c r="D11">
        <v>5909076</v>
      </c>
      <c r="E11">
        <v>20968411</v>
      </c>
      <c r="F11">
        <v>0</v>
      </c>
      <c r="G11">
        <v>3.5485092762387893</v>
      </c>
      <c r="H11">
        <v>4.2835803873642452E-3</v>
      </c>
    </row>
    <row r="12" spans="1:8">
      <c r="A12">
        <v>11</v>
      </c>
      <c r="B12" t="s">
        <v>216</v>
      </c>
      <c r="C12" t="s">
        <v>217</v>
      </c>
      <c r="D12">
        <v>5421535</v>
      </c>
      <c r="E12">
        <v>31507847</v>
      </c>
      <c r="F12">
        <v>0</v>
      </c>
      <c r="G12">
        <v>5.8116099960620007</v>
      </c>
      <c r="H12">
        <v>3.9301543922279575E-3</v>
      </c>
    </row>
    <row r="13" spans="1:8">
      <c r="A13">
        <v>12</v>
      </c>
      <c r="B13" t="s">
        <v>218</v>
      </c>
      <c r="C13" t="s">
        <v>219</v>
      </c>
      <c r="D13">
        <v>5285768</v>
      </c>
      <c r="E13">
        <v>22682026</v>
      </c>
      <c r="F13">
        <v>0</v>
      </c>
      <c r="G13">
        <v>4.2911505007408577</v>
      </c>
      <c r="H13">
        <v>3.8317347986313818E-3</v>
      </c>
    </row>
    <row r="14" spans="1:8">
      <c r="A14">
        <v>13</v>
      </c>
      <c r="B14" t="s">
        <v>220</v>
      </c>
      <c r="C14" t="s">
        <v>221</v>
      </c>
      <c r="D14">
        <v>5129100</v>
      </c>
      <c r="E14">
        <v>14106140</v>
      </c>
      <c r="F14">
        <v>0</v>
      </c>
      <c r="G14">
        <v>2.7502173870659572</v>
      </c>
      <c r="H14">
        <v>3.718163747568985E-3</v>
      </c>
    </row>
    <row r="15" spans="1:8">
      <c r="A15">
        <v>14</v>
      </c>
      <c r="B15" t="s">
        <v>222</v>
      </c>
      <c r="C15" t="s">
        <v>223</v>
      </c>
      <c r="D15">
        <v>5053153</v>
      </c>
      <c r="E15">
        <v>11325671</v>
      </c>
      <c r="F15">
        <v>0</v>
      </c>
      <c r="G15">
        <v>2.2413077537925332</v>
      </c>
      <c r="H15">
        <v>3.6631085951764363E-3</v>
      </c>
    </row>
    <row r="16" spans="1:8">
      <c r="A16">
        <v>15</v>
      </c>
      <c r="B16" t="s">
        <v>224</v>
      </c>
      <c r="C16" t="s">
        <v>225</v>
      </c>
      <c r="D16">
        <v>5021857</v>
      </c>
      <c r="E16">
        <v>10491478</v>
      </c>
      <c r="F16">
        <v>0</v>
      </c>
      <c r="G16">
        <v>2.0891630327187731</v>
      </c>
      <c r="H16">
        <v>3.6404216417842391E-3</v>
      </c>
    </row>
    <row r="17" spans="1:8">
      <c r="A17">
        <v>16</v>
      </c>
      <c r="B17" t="s">
        <v>226</v>
      </c>
      <c r="C17" t="s">
        <v>227</v>
      </c>
      <c r="D17">
        <v>5010069</v>
      </c>
      <c r="E17">
        <v>9573586</v>
      </c>
      <c r="F17">
        <v>0</v>
      </c>
      <c r="G17">
        <v>1.910869091822887</v>
      </c>
      <c r="H17">
        <v>3.6318763386596477E-3</v>
      </c>
    </row>
    <row r="18" spans="1:8">
      <c r="A18">
        <v>17</v>
      </c>
      <c r="B18" t="s">
        <v>228</v>
      </c>
      <c r="C18" t="s">
        <v>229</v>
      </c>
      <c r="D18">
        <v>4994809</v>
      </c>
      <c r="E18">
        <v>19356038</v>
      </c>
      <c r="F18">
        <v>0</v>
      </c>
      <c r="G18">
        <v>3.8752308646837146</v>
      </c>
      <c r="H18">
        <v>3.6208141291515657E-3</v>
      </c>
    </row>
    <row r="19" spans="1:8">
      <c r="A19">
        <v>18</v>
      </c>
      <c r="B19" t="s">
        <v>230</v>
      </c>
      <c r="C19" t="s">
        <v>231</v>
      </c>
      <c r="D19">
        <v>4826406</v>
      </c>
      <c r="E19">
        <v>13222239</v>
      </c>
      <c r="F19">
        <v>0</v>
      </c>
      <c r="G19">
        <v>2.739562108948149</v>
      </c>
      <c r="H19">
        <v>3.4987361954825283E-3</v>
      </c>
    </row>
    <row r="20" spans="1:8">
      <c r="A20">
        <v>19</v>
      </c>
      <c r="B20" t="s">
        <v>232</v>
      </c>
      <c r="C20" t="s">
        <v>233</v>
      </c>
      <c r="D20">
        <v>4813148</v>
      </c>
      <c r="E20">
        <v>8444851</v>
      </c>
      <c r="F20">
        <v>0</v>
      </c>
      <c r="G20">
        <v>1.75453798636568</v>
      </c>
      <c r="H20">
        <v>3.4891252666713782E-3</v>
      </c>
    </row>
    <row r="21" spans="1:8">
      <c r="A21">
        <v>20</v>
      </c>
      <c r="B21" t="s">
        <v>234</v>
      </c>
      <c r="C21" t="s">
        <v>235</v>
      </c>
      <c r="D21">
        <v>4761392</v>
      </c>
      <c r="E21">
        <v>14091047</v>
      </c>
      <c r="F21">
        <v>0</v>
      </c>
      <c r="G21">
        <v>2.9594385423422396</v>
      </c>
      <c r="H21">
        <v>3.4516065435193279E-3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5"/>
  <sheetViews>
    <sheetView workbookViewId="0"/>
  </sheetViews>
  <sheetFormatPr defaultRowHeight="13.8"/>
  <cols>
    <col min="1" max="1" width="30.296875" customWidth="1"/>
    <col min="2" max="2" width="7.8984375" customWidth="1"/>
    <col min="3" max="3" width="10" customWidth="1"/>
    <col min="4" max="4" width="12.796875" customWidth="1"/>
    <col min="5" max="5" width="14.296875" customWidth="1"/>
    <col min="6" max="6" width="12.796875" customWidth="1"/>
    <col min="7" max="7" width="10.3984375" customWidth="1"/>
  </cols>
  <sheetData>
    <row r="1" spans="1:7">
      <c r="A1" s="1" t="s">
        <v>113</v>
      </c>
      <c r="B1" s="1" t="s">
        <v>114</v>
      </c>
      <c r="C1" s="6" t="s">
        <v>30</v>
      </c>
      <c r="D1" s="6" t="s">
        <v>33</v>
      </c>
      <c r="E1" s="6" t="s">
        <v>34</v>
      </c>
      <c r="F1" s="6" t="s">
        <v>35</v>
      </c>
      <c r="G1" s="7" t="s">
        <v>236</v>
      </c>
    </row>
    <row r="2" spans="1:7">
      <c r="A2" t="s">
        <v>15</v>
      </c>
      <c r="B2" t="s">
        <v>116</v>
      </c>
      <c r="C2">
        <v>1119241146</v>
      </c>
      <c r="D2">
        <v>3628915534</v>
      </c>
      <c r="E2">
        <v>8176</v>
      </c>
      <c r="F2">
        <v>3.2422999699119353</v>
      </c>
      <c r="G2">
        <v>0.81135518002081564</v>
      </c>
    </row>
    <row r="3" spans="1:7">
      <c r="A3" t="s">
        <v>117</v>
      </c>
      <c r="B3" t="s">
        <v>118</v>
      </c>
      <c r="C3">
        <v>129676142</v>
      </c>
      <c r="D3">
        <v>787274092</v>
      </c>
      <c r="E3">
        <v>2046</v>
      </c>
      <c r="F3">
        <v>6.0710789190505068</v>
      </c>
      <c r="G3">
        <v>9.4004236631964264E-2</v>
      </c>
    </row>
    <row r="4" spans="1:7">
      <c r="A4" t="s">
        <v>119</v>
      </c>
      <c r="B4" t="s">
        <v>120</v>
      </c>
      <c r="C4">
        <v>108221412</v>
      </c>
      <c r="D4">
        <v>294759617</v>
      </c>
      <c r="E4">
        <v>70476</v>
      </c>
      <c r="F4">
        <v>2.7236718829726598</v>
      </c>
      <c r="G4">
        <v>7.8451371743410575E-2</v>
      </c>
    </row>
    <row r="5" spans="1:7">
      <c r="A5" t="s">
        <v>121</v>
      </c>
      <c r="B5" t="s">
        <v>122</v>
      </c>
      <c r="C5">
        <v>14920092</v>
      </c>
      <c r="D5">
        <v>87644426</v>
      </c>
      <c r="E5">
        <v>2255</v>
      </c>
      <c r="F5">
        <v>5.8742550649151495</v>
      </c>
      <c r="G5">
        <v>1.0815804953070525E-2</v>
      </c>
    </row>
    <row r="6" spans="1:7">
      <c r="A6" t="s">
        <v>123</v>
      </c>
      <c r="B6" t="s">
        <v>124</v>
      </c>
      <c r="C6">
        <v>1562968</v>
      </c>
      <c r="D6">
        <v>11774484</v>
      </c>
      <c r="E6">
        <v>903748</v>
      </c>
      <c r="F6">
        <v>7.5334133520327988</v>
      </c>
      <c r="G6">
        <v>1.1330196245365467E-3</v>
      </c>
    </row>
    <row r="7" spans="1:7">
      <c r="A7" t="s">
        <v>125</v>
      </c>
      <c r="B7" t="s">
        <v>126</v>
      </c>
      <c r="C7">
        <v>1524912</v>
      </c>
      <c r="D7">
        <v>9569679</v>
      </c>
      <c r="E7">
        <v>21343</v>
      </c>
      <c r="F7">
        <v>6.2755614750228208</v>
      </c>
      <c r="G7">
        <v>1.1054322428170472E-3</v>
      </c>
    </row>
    <row r="8" spans="1:7">
      <c r="A8" t="s">
        <v>15</v>
      </c>
      <c r="B8" t="s">
        <v>127</v>
      </c>
      <c r="C8">
        <v>1425332</v>
      </c>
      <c r="D8">
        <v>3369559</v>
      </c>
      <c r="E8">
        <v>0</v>
      </c>
      <c r="F8">
        <v>2.3640520243704626</v>
      </c>
      <c r="G8">
        <v>1.0332451639956321E-3</v>
      </c>
    </row>
    <row r="9" spans="1:7">
      <c r="A9" t="s">
        <v>117</v>
      </c>
      <c r="B9" t="s">
        <v>128</v>
      </c>
      <c r="C9">
        <v>703093</v>
      </c>
      <c r="D9">
        <v>12792270</v>
      </c>
      <c r="E9">
        <v>0</v>
      </c>
      <c r="F9">
        <v>18.194278708506555</v>
      </c>
      <c r="G9">
        <v>5.0968296655739219E-4</v>
      </c>
    </row>
    <row r="10" spans="1:7">
      <c r="A10" t="s">
        <v>129</v>
      </c>
      <c r="B10" t="s">
        <v>130</v>
      </c>
      <c r="C10">
        <v>275137</v>
      </c>
      <c r="D10">
        <v>33697</v>
      </c>
      <c r="E10">
        <v>0</v>
      </c>
      <c r="F10">
        <v>0.1224735313680094</v>
      </c>
      <c r="G10">
        <v>1.9945105749836968E-4</v>
      </c>
    </row>
    <row r="11" spans="1:7">
      <c r="A11" t="s">
        <v>131</v>
      </c>
      <c r="B11" t="s">
        <v>132</v>
      </c>
      <c r="C11">
        <v>267373</v>
      </c>
      <c r="D11">
        <v>1986730</v>
      </c>
      <c r="E11">
        <v>0</v>
      </c>
      <c r="F11">
        <v>7.4305558152842659</v>
      </c>
      <c r="G11">
        <v>1.9382281407630234E-4</v>
      </c>
    </row>
    <row r="12" spans="1:7">
      <c r="A12" t="s">
        <v>133</v>
      </c>
      <c r="B12" t="s">
        <v>134</v>
      </c>
      <c r="C12">
        <v>212153</v>
      </c>
      <c r="D12">
        <v>375175</v>
      </c>
      <c r="E12">
        <v>0</v>
      </c>
      <c r="F12">
        <v>1.7684171329182241</v>
      </c>
      <c r="G12">
        <v>1.5379298386422626E-4</v>
      </c>
    </row>
    <row r="13" spans="1:7">
      <c r="A13" t="s">
        <v>135</v>
      </c>
      <c r="B13" t="s">
        <v>136</v>
      </c>
      <c r="C13">
        <v>176171</v>
      </c>
      <c r="D13">
        <v>3420</v>
      </c>
      <c r="E13">
        <v>0</v>
      </c>
      <c r="F13">
        <v>1.9412956729541183E-2</v>
      </c>
      <c r="G13">
        <v>1.2770907675283688E-4</v>
      </c>
    </row>
    <row r="14" spans="1:7">
      <c r="A14" t="s">
        <v>137</v>
      </c>
      <c r="B14" t="s">
        <v>138</v>
      </c>
      <c r="C14">
        <v>135551</v>
      </c>
      <c r="D14">
        <v>968929</v>
      </c>
      <c r="E14">
        <v>0</v>
      </c>
      <c r="F14">
        <v>7.1480771075093505</v>
      </c>
      <c r="G14">
        <v>9.826301186304099E-5</v>
      </c>
    </row>
    <row r="15" spans="1:7">
      <c r="A15" t="s">
        <v>139</v>
      </c>
      <c r="B15" t="s">
        <v>140</v>
      </c>
      <c r="C15">
        <v>116009</v>
      </c>
      <c r="D15">
        <v>665421</v>
      </c>
      <c r="E15">
        <v>0</v>
      </c>
      <c r="F15">
        <v>5.7359429009818204</v>
      </c>
      <c r="G15">
        <v>8.4096714470712291E-5</v>
      </c>
    </row>
    <row r="16" spans="1:7">
      <c r="A16" t="s">
        <v>141</v>
      </c>
      <c r="B16" t="s">
        <v>142</v>
      </c>
      <c r="C16">
        <v>108619</v>
      </c>
      <c r="D16">
        <v>348871</v>
      </c>
      <c r="E16">
        <v>0</v>
      </c>
      <c r="F16">
        <v>3.2118782165182886</v>
      </c>
      <c r="G16">
        <v>7.8739589420599249E-5</v>
      </c>
    </row>
    <row r="17" spans="1:7">
      <c r="A17" t="s">
        <v>143</v>
      </c>
      <c r="B17" t="s">
        <v>144</v>
      </c>
      <c r="C17">
        <v>79613</v>
      </c>
      <c r="D17">
        <v>2003</v>
      </c>
      <c r="E17">
        <v>0</v>
      </c>
      <c r="F17">
        <v>2.5159207667089546E-2</v>
      </c>
      <c r="G17">
        <v>5.7712692370047301E-5</v>
      </c>
    </row>
    <row r="18" spans="1:7">
      <c r="A18" t="s">
        <v>145</v>
      </c>
      <c r="B18" t="s">
        <v>146</v>
      </c>
      <c r="C18">
        <v>71626</v>
      </c>
      <c r="D18">
        <v>0</v>
      </c>
      <c r="E18">
        <v>0</v>
      </c>
      <c r="F18">
        <v>0</v>
      </c>
      <c r="G18">
        <v>5.1922792806413626E-5</v>
      </c>
    </row>
    <row r="19" spans="1:7">
      <c r="A19" t="s">
        <v>147</v>
      </c>
      <c r="B19" t="s">
        <v>148</v>
      </c>
      <c r="C19">
        <v>68959</v>
      </c>
      <c r="D19">
        <v>336061</v>
      </c>
      <c r="E19">
        <v>1256</v>
      </c>
      <c r="F19">
        <v>4.8733450311054396</v>
      </c>
      <c r="G19">
        <v>4.9989443346514915E-5</v>
      </c>
    </row>
    <row r="20" spans="1:7">
      <c r="A20" t="s">
        <v>149</v>
      </c>
      <c r="B20" t="s">
        <v>150</v>
      </c>
      <c r="C20">
        <v>66253</v>
      </c>
      <c r="D20">
        <v>94239</v>
      </c>
      <c r="E20">
        <v>0</v>
      </c>
      <c r="F20">
        <v>1.4224110606312168</v>
      </c>
      <c r="G20">
        <v>4.8027822184727919E-5</v>
      </c>
    </row>
    <row r="21" spans="1:7">
      <c r="A21" t="s">
        <v>151</v>
      </c>
      <c r="B21" t="s">
        <v>152</v>
      </c>
      <c r="C21">
        <v>50908</v>
      </c>
      <c r="D21">
        <v>0</v>
      </c>
      <c r="E21">
        <v>0</v>
      </c>
      <c r="F21">
        <v>0</v>
      </c>
      <c r="G21">
        <v>3.6903994864838259E-5</v>
      </c>
    </row>
    <row r="22" spans="1:7">
      <c r="A22" t="s">
        <v>237</v>
      </c>
      <c r="B22" t="s">
        <v>238</v>
      </c>
      <c r="C22">
        <v>49642</v>
      </c>
      <c r="D22">
        <v>0</v>
      </c>
      <c r="E22">
        <v>0</v>
      </c>
      <c r="F22">
        <v>0</v>
      </c>
      <c r="G22">
        <v>3.5986251926618622E-5</v>
      </c>
    </row>
    <row r="23" spans="1:7">
      <c r="A23" t="s">
        <v>239</v>
      </c>
      <c r="B23" t="s">
        <v>240</v>
      </c>
      <c r="C23">
        <v>40773</v>
      </c>
      <c r="D23">
        <v>201175</v>
      </c>
      <c r="E23">
        <v>0</v>
      </c>
      <c r="F23">
        <v>4.9340249675030048</v>
      </c>
      <c r="G23">
        <v>2.9556976951049938E-5</v>
      </c>
    </row>
    <row r="24" spans="1:7">
      <c r="A24" t="s">
        <v>241</v>
      </c>
      <c r="B24" t="s">
        <v>242</v>
      </c>
      <c r="C24">
        <v>37438</v>
      </c>
      <c r="D24">
        <v>161044</v>
      </c>
      <c r="E24">
        <v>0</v>
      </c>
      <c r="F24">
        <v>4.3016186762113362</v>
      </c>
      <c r="G24">
        <v>2.7139383981885258E-5</v>
      </c>
    </row>
    <row r="25" spans="1:7">
      <c r="A25" t="s">
        <v>243</v>
      </c>
      <c r="B25" t="s">
        <v>244</v>
      </c>
      <c r="C25">
        <v>34787</v>
      </c>
      <c r="D25">
        <v>1205509</v>
      </c>
      <c r="E25">
        <v>11402</v>
      </c>
      <c r="F25">
        <v>34.654008681403973</v>
      </c>
      <c r="G25">
        <v>2.5217633168915071E-5</v>
      </c>
    </row>
    <row r="26" spans="1:7">
      <c r="A26" t="s">
        <v>245</v>
      </c>
      <c r="B26" t="s">
        <v>246</v>
      </c>
      <c r="C26">
        <v>33585</v>
      </c>
      <c r="D26">
        <v>59756</v>
      </c>
      <c r="E26">
        <v>0</v>
      </c>
      <c r="F26">
        <v>1.7792466875093047</v>
      </c>
      <c r="G26">
        <v>2.434628481840954E-5</v>
      </c>
    </row>
    <row r="27" spans="1:7">
      <c r="A27" t="s">
        <v>247</v>
      </c>
      <c r="B27" t="s">
        <v>248</v>
      </c>
      <c r="C27">
        <v>32096</v>
      </c>
      <c r="D27">
        <v>690116</v>
      </c>
      <c r="E27">
        <v>0</v>
      </c>
      <c r="F27">
        <v>21.501620139581256</v>
      </c>
      <c r="G27">
        <v>2.326688573862357E-5</v>
      </c>
    </row>
    <row r="28" spans="1:7">
      <c r="A28" t="s">
        <v>249</v>
      </c>
      <c r="B28" t="s">
        <v>250</v>
      </c>
      <c r="C28">
        <v>31081</v>
      </c>
      <c r="D28">
        <v>26236</v>
      </c>
      <c r="E28">
        <v>0</v>
      </c>
      <c r="F28">
        <v>0.84411698465300344</v>
      </c>
      <c r="G28">
        <v>2.2531096574095189E-5</v>
      </c>
    </row>
    <row r="29" spans="1:7">
      <c r="A29" t="s">
        <v>251</v>
      </c>
      <c r="B29" t="s">
        <v>252</v>
      </c>
      <c r="C29">
        <v>30713</v>
      </c>
      <c r="D29">
        <v>76676</v>
      </c>
      <c r="E29">
        <v>0</v>
      </c>
      <c r="F29">
        <v>2.4965324129847297</v>
      </c>
      <c r="G29">
        <v>2.2264327694739087E-5</v>
      </c>
    </row>
    <row r="30" spans="1:7">
      <c r="A30" t="s">
        <v>253</v>
      </c>
      <c r="B30" t="s">
        <v>254</v>
      </c>
      <c r="C30">
        <v>30026</v>
      </c>
      <c r="D30">
        <v>60754</v>
      </c>
      <c r="E30">
        <v>0</v>
      </c>
      <c r="F30">
        <v>2.0233797375607807</v>
      </c>
      <c r="G30">
        <v>2.176631079224549E-5</v>
      </c>
    </row>
    <row r="31" spans="1:7">
      <c r="A31" t="s">
        <v>255</v>
      </c>
      <c r="B31" t="s">
        <v>256</v>
      </c>
      <c r="C31">
        <v>27519</v>
      </c>
      <c r="D31">
        <v>271687</v>
      </c>
      <c r="E31">
        <v>0</v>
      </c>
      <c r="F31">
        <v>9.8727061303099681</v>
      </c>
      <c r="G31">
        <v>1.9948947801632042E-5</v>
      </c>
    </row>
    <row r="32" spans="1:7">
      <c r="A32" t="s">
        <v>257</v>
      </c>
      <c r="B32" t="s">
        <v>258</v>
      </c>
      <c r="C32">
        <v>23626</v>
      </c>
      <c r="D32">
        <v>2107758</v>
      </c>
      <c r="E32">
        <v>29158</v>
      </c>
      <c r="F32">
        <v>89.213493608736144</v>
      </c>
      <c r="G32">
        <v>1.712685202083501E-5</v>
      </c>
    </row>
    <row r="33" spans="1:7">
      <c r="A33" t="s">
        <v>259</v>
      </c>
      <c r="B33" t="s">
        <v>260</v>
      </c>
      <c r="C33">
        <v>21755</v>
      </c>
      <c r="D33">
        <v>876969</v>
      </c>
      <c r="E33">
        <v>10002</v>
      </c>
      <c r="F33">
        <v>40.31114686279016</v>
      </c>
      <c r="G33">
        <v>1.5770535245630474E-5</v>
      </c>
    </row>
    <row r="34" spans="1:7">
      <c r="A34" t="s">
        <v>261</v>
      </c>
      <c r="B34" t="s">
        <v>262</v>
      </c>
      <c r="C34">
        <v>16954</v>
      </c>
      <c r="D34">
        <v>222423</v>
      </c>
      <c r="E34">
        <v>0</v>
      </c>
      <c r="F34">
        <v>13.119204907396485</v>
      </c>
      <c r="G34">
        <v>1.229021625163958E-5</v>
      </c>
    </row>
    <row r="35" spans="1:7">
      <c r="A35" t="s">
        <v>263</v>
      </c>
      <c r="B35" t="s">
        <v>264</v>
      </c>
      <c r="C35">
        <v>15287</v>
      </c>
      <c r="D35">
        <v>12712</v>
      </c>
      <c r="E35">
        <v>0</v>
      </c>
      <c r="F35">
        <v>0.83155622424282072</v>
      </c>
      <c r="G35">
        <v>1.1081782224773757E-5</v>
      </c>
    </row>
    <row r="36" spans="1:7">
      <c r="A36" t="s">
        <v>265</v>
      </c>
      <c r="B36" t="s">
        <v>266</v>
      </c>
      <c r="C36">
        <v>15248</v>
      </c>
      <c r="D36">
        <v>114910</v>
      </c>
      <c r="E36">
        <v>0</v>
      </c>
      <c r="F36">
        <v>7.5360703043022035</v>
      </c>
      <c r="G36">
        <v>1.1053510522885474E-5</v>
      </c>
    </row>
    <row r="37" spans="1:7">
      <c r="A37" t="s">
        <v>267</v>
      </c>
      <c r="B37" t="s">
        <v>268</v>
      </c>
      <c r="C37">
        <v>15173</v>
      </c>
      <c r="D37">
        <v>52338</v>
      </c>
      <c r="E37">
        <v>0</v>
      </c>
      <c r="F37">
        <v>3.4494167270809992</v>
      </c>
      <c r="G37">
        <v>1.0999141865408007E-5</v>
      </c>
    </row>
    <row r="38" spans="1:7">
      <c r="A38" t="s">
        <v>269</v>
      </c>
      <c r="B38" t="s">
        <v>270</v>
      </c>
      <c r="C38">
        <v>14891</v>
      </c>
      <c r="D38">
        <v>0</v>
      </c>
      <c r="E38">
        <v>0</v>
      </c>
      <c r="F38">
        <v>0</v>
      </c>
      <c r="G38">
        <v>1.0794715713292733E-5</v>
      </c>
    </row>
    <row r="39" spans="1:7">
      <c r="A39" t="s">
        <v>271</v>
      </c>
      <c r="B39" t="s">
        <v>272</v>
      </c>
      <c r="C39">
        <v>14264</v>
      </c>
      <c r="D39">
        <v>38238</v>
      </c>
      <c r="E39">
        <v>0</v>
      </c>
      <c r="F39">
        <v>2.6807347167694897</v>
      </c>
      <c r="G39">
        <v>1.0340193736781113E-5</v>
      </c>
    </row>
    <row r="40" spans="1:7">
      <c r="A40" t="s">
        <v>273</v>
      </c>
      <c r="B40" t="s">
        <v>274</v>
      </c>
      <c r="C40">
        <v>12789</v>
      </c>
      <c r="D40">
        <v>259780</v>
      </c>
      <c r="E40">
        <v>0</v>
      </c>
      <c r="F40">
        <v>20.312768785675189</v>
      </c>
      <c r="G40">
        <v>9.2709434730576034E-6</v>
      </c>
    </row>
    <row r="41" spans="1:7">
      <c r="A41" t="s">
        <v>275</v>
      </c>
      <c r="B41" t="s">
        <v>276</v>
      </c>
      <c r="C41">
        <v>12616</v>
      </c>
      <c r="D41">
        <v>60742</v>
      </c>
      <c r="E41">
        <v>0</v>
      </c>
      <c r="F41">
        <v>4.8146797717184526</v>
      </c>
      <c r="G41">
        <v>9.1455331031429134E-6</v>
      </c>
    </row>
    <row r="42" spans="1:7">
      <c r="A42" t="s">
        <v>277</v>
      </c>
      <c r="B42" t="s">
        <v>278</v>
      </c>
      <c r="C42">
        <v>11306</v>
      </c>
      <c r="D42">
        <v>4170</v>
      </c>
      <c r="E42">
        <v>0</v>
      </c>
      <c r="F42">
        <v>0.36883070935786311</v>
      </c>
      <c r="G42">
        <v>8.1958938858698312E-6</v>
      </c>
    </row>
    <row r="43" spans="1:7">
      <c r="A43" t="s">
        <v>279</v>
      </c>
      <c r="B43" t="s">
        <v>280</v>
      </c>
      <c r="C43">
        <v>8850</v>
      </c>
      <c r="D43">
        <v>16453</v>
      </c>
      <c r="E43">
        <v>0</v>
      </c>
      <c r="F43">
        <v>1.8590960451977401</v>
      </c>
      <c r="G43">
        <v>6.4155015823410577E-6</v>
      </c>
    </row>
    <row r="44" spans="1:7">
      <c r="A44" t="s">
        <v>281</v>
      </c>
      <c r="B44" t="s">
        <v>282</v>
      </c>
      <c r="C44">
        <v>8191</v>
      </c>
      <c r="D44">
        <v>73484</v>
      </c>
      <c r="E44">
        <v>0</v>
      </c>
      <c r="F44">
        <v>8.9713099743621054</v>
      </c>
      <c r="G44">
        <v>5.9377823119723845E-6</v>
      </c>
    </row>
    <row r="45" spans="1:7">
      <c r="A45" t="s">
        <v>283</v>
      </c>
      <c r="B45" t="s">
        <v>284</v>
      </c>
      <c r="C45">
        <v>6238</v>
      </c>
      <c r="D45">
        <v>5739520</v>
      </c>
      <c r="E45">
        <v>64117</v>
      </c>
      <c r="F45">
        <v>920.08977236293686</v>
      </c>
      <c r="G45">
        <v>4.5220224712591548E-6</v>
      </c>
    </row>
    <row r="46" spans="1:7">
      <c r="A46" t="s">
        <v>285</v>
      </c>
      <c r="B46" t="s">
        <v>286</v>
      </c>
      <c r="C46">
        <v>5905</v>
      </c>
      <c r="D46">
        <v>7432</v>
      </c>
      <c r="E46">
        <v>0</v>
      </c>
      <c r="F46">
        <v>1.2585944115156646</v>
      </c>
      <c r="G46">
        <v>4.2806256320592033E-6</v>
      </c>
    </row>
    <row r="47" spans="1:7">
      <c r="A47" t="s">
        <v>287</v>
      </c>
      <c r="B47" t="s">
        <v>288</v>
      </c>
      <c r="C47">
        <v>5458</v>
      </c>
      <c r="D47">
        <v>365766</v>
      </c>
      <c r="E47">
        <v>0</v>
      </c>
      <c r="F47">
        <v>67.014657383657024</v>
      </c>
      <c r="G47">
        <v>3.956588433493502E-6</v>
      </c>
    </row>
    <row r="48" spans="1:7">
      <c r="A48" t="s">
        <v>289</v>
      </c>
      <c r="B48" t="s">
        <v>290</v>
      </c>
      <c r="C48">
        <v>2869</v>
      </c>
      <c r="D48">
        <v>38129</v>
      </c>
      <c r="E48">
        <v>0</v>
      </c>
      <c r="F48">
        <v>13.289996514464971</v>
      </c>
      <c r="G48">
        <v>2.0797823773713552E-6</v>
      </c>
    </row>
    <row r="49" spans="1:7">
      <c r="A49" t="s">
        <v>291</v>
      </c>
      <c r="B49" t="s">
        <v>292</v>
      </c>
      <c r="C49">
        <v>2296</v>
      </c>
      <c r="D49">
        <v>6691</v>
      </c>
      <c r="E49">
        <v>0</v>
      </c>
      <c r="F49">
        <v>2.9141986062717771</v>
      </c>
      <c r="G49">
        <v>1.6644058342435106E-6</v>
      </c>
    </row>
    <row r="50" spans="1:7">
      <c r="A50" t="s">
        <v>293</v>
      </c>
      <c r="B50" t="s">
        <v>294</v>
      </c>
      <c r="C50">
        <v>2242</v>
      </c>
      <c r="D50">
        <v>1302</v>
      </c>
      <c r="E50">
        <v>0</v>
      </c>
      <c r="F50">
        <v>0.5807314897413024</v>
      </c>
      <c r="G50">
        <v>1.6252604008597347E-6</v>
      </c>
    </row>
    <row r="51" spans="1:7">
      <c r="A51" t="s">
        <v>295</v>
      </c>
      <c r="B51" t="s">
        <v>296</v>
      </c>
      <c r="C51">
        <v>1425</v>
      </c>
      <c r="D51">
        <v>24314</v>
      </c>
      <c r="E51">
        <v>0</v>
      </c>
      <c r="F51">
        <v>17.062456140350879</v>
      </c>
      <c r="G51">
        <v>1.0330044920718653E-6</v>
      </c>
    </row>
    <row r="52" spans="1:7">
      <c r="A52" t="s">
        <v>297</v>
      </c>
      <c r="B52" t="s">
        <v>298</v>
      </c>
      <c r="C52">
        <v>1044</v>
      </c>
      <c r="D52">
        <v>509</v>
      </c>
      <c r="E52">
        <v>0</v>
      </c>
      <c r="F52">
        <v>0.48754789272030652</v>
      </c>
      <c r="G52">
        <v>7.5681171208633492E-7</v>
      </c>
    </row>
    <row r="53" spans="1:7">
      <c r="A53" t="s">
        <v>299</v>
      </c>
      <c r="B53" t="s">
        <v>300</v>
      </c>
      <c r="C53">
        <v>629</v>
      </c>
      <c r="D53">
        <v>7712</v>
      </c>
      <c r="E53">
        <v>0</v>
      </c>
      <c r="F53">
        <v>12.260731319554848</v>
      </c>
      <c r="G53">
        <v>4.559718073776865E-7</v>
      </c>
    </row>
    <row r="54" spans="1:7">
      <c r="A54" t="s">
        <v>301</v>
      </c>
      <c r="B54" t="s">
        <v>302</v>
      </c>
      <c r="C54">
        <v>594</v>
      </c>
      <c r="D54">
        <v>29743</v>
      </c>
      <c r="E54">
        <v>0</v>
      </c>
      <c r="F54">
        <v>50.072390572390574</v>
      </c>
      <c r="G54">
        <v>4.3059976722153539E-7</v>
      </c>
    </row>
    <row r="55" spans="1:7">
      <c r="A55" t="s">
        <v>303</v>
      </c>
      <c r="B55" t="s">
        <v>304</v>
      </c>
      <c r="C55">
        <v>353</v>
      </c>
      <c r="D55">
        <v>827336</v>
      </c>
      <c r="E55">
        <v>11524</v>
      </c>
      <c r="F55">
        <v>2343.728045325779</v>
      </c>
      <c r="G55">
        <v>2.5589514786060944E-7</v>
      </c>
    </row>
    <row r="56" spans="1:7">
      <c r="A56" t="s">
        <v>305</v>
      </c>
      <c r="B56" t="s">
        <v>306</v>
      </c>
      <c r="C56">
        <v>78</v>
      </c>
      <c r="D56">
        <v>9427</v>
      </c>
      <c r="E56">
        <v>0</v>
      </c>
      <c r="F56">
        <v>120.85897435897436</v>
      </c>
      <c r="G56">
        <v>5.6543403776565257E-8</v>
      </c>
    </row>
    <row r="57" spans="1:7">
      <c r="A57" t="s">
        <v>307</v>
      </c>
      <c r="B57" t="s">
        <v>308</v>
      </c>
      <c r="C57">
        <v>42</v>
      </c>
      <c r="D57">
        <v>0</v>
      </c>
      <c r="E57">
        <v>0</v>
      </c>
      <c r="F57">
        <v>0</v>
      </c>
      <c r="G57">
        <v>3.0446448187381288E-8</v>
      </c>
    </row>
    <row r="58" spans="1:7">
      <c r="A58" t="s">
        <v>309</v>
      </c>
      <c r="B58" t="s">
        <v>310</v>
      </c>
      <c r="C58">
        <v>0</v>
      </c>
      <c r="D58">
        <v>0</v>
      </c>
      <c r="E58">
        <v>0</v>
      </c>
      <c r="G58">
        <v>0</v>
      </c>
    </row>
    <row r="59" spans="1:7">
      <c r="A59" t="s">
        <v>311</v>
      </c>
      <c r="B59" t="s">
        <v>312</v>
      </c>
      <c r="C59">
        <v>0</v>
      </c>
      <c r="D59">
        <v>0</v>
      </c>
      <c r="E59">
        <v>0</v>
      </c>
      <c r="G59">
        <v>0</v>
      </c>
    </row>
    <row r="60" spans="1:7">
      <c r="A60" t="s">
        <v>313</v>
      </c>
      <c r="B60" t="s">
        <v>314</v>
      </c>
      <c r="C60">
        <v>0</v>
      </c>
      <c r="D60">
        <v>0</v>
      </c>
      <c r="E60">
        <v>0</v>
      </c>
      <c r="G60">
        <v>0</v>
      </c>
    </row>
    <row r="61" spans="1:7">
      <c r="A61" t="s">
        <v>315</v>
      </c>
      <c r="B61" t="s">
        <v>316</v>
      </c>
      <c r="C61">
        <v>0</v>
      </c>
      <c r="D61">
        <v>340674</v>
      </c>
      <c r="E61">
        <v>430</v>
      </c>
      <c r="G61">
        <v>0</v>
      </c>
    </row>
    <row r="62" spans="1:7">
      <c r="A62" t="s">
        <v>317</v>
      </c>
      <c r="B62" t="s">
        <v>318</v>
      </c>
      <c r="C62">
        <v>0</v>
      </c>
      <c r="D62">
        <v>0</v>
      </c>
      <c r="E62">
        <v>0</v>
      </c>
      <c r="G62">
        <v>0</v>
      </c>
    </row>
    <row r="63" spans="1:7">
      <c r="A63" t="s">
        <v>319</v>
      </c>
      <c r="B63" t="s">
        <v>320</v>
      </c>
      <c r="C63">
        <v>0</v>
      </c>
      <c r="D63">
        <v>0</v>
      </c>
      <c r="E63">
        <v>0</v>
      </c>
      <c r="G63">
        <v>0</v>
      </c>
    </row>
    <row r="64" spans="1:7">
      <c r="A64" t="s">
        <v>321</v>
      </c>
      <c r="B64" t="s">
        <v>322</v>
      </c>
      <c r="C64">
        <v>0</v>
      </c>
      <c r="D64">
        <v>66844</v>
      </c>
      <c r="E64">
        <v>2004</v>
      </c>
      <c r="G64">
        <v>0</v>
      </c>
    </row>
    <row r="65" spans="1:7">
      <c r="A65" t="s">
        <v>323</v>
      </c>
      <c r="B65" t="s">
        <v>324</v>
      </c>
      <c r="C65">
        <v>0</v>
      </c>
      <c r="D65">
        <v>0</v>
      </c>
      <c r="E65">
        <v>0</v>
      </c>
      <c r="G65">
        <v>0</v>
      </c>
    </row>
    <row r="66" spans="1:7">
      <c r="A66" t="s">
        <v>325</v>
      </c>
      <c r="B66" t="s">
        <v>326</v>
      </c>
      <c r="C66">
        <v>0</v>
      </c>
      <c r="D66">
        <v>0</v>
      </c>
      <c r="E66">
        <v>0</v>
      </c>
      <c r="G66">
        <v>0</v>
      </c>
    </row>
    <row r="67" spans="1:7">
      <c r="A67" t="s">
        <v>327</v>
      </c>
      <c r="B67" t="s">
        <v>328</v>
      </c>
      <c r="C67">
        <v>0</v>
      </c>
      <c r="D67">
        <v>0</v>
      </c>
      <c r="E67">
        <v>0</v>
      </c>
      <c r="G67">
        <v>0</v>
      </c>
    </row>
    <row r="68" spans="1:7">
      <c r="A68" t="s">
        <v>329</v>
      </c>
      <c r="B68" t="s">
        <v>330</v>
      </c>
      <c r="C68">
        <v>0</v>
      </c>
      <c r="D68">
        <v>0</v>
      </c>
      <c r="E68">
        <v>0</v>
      </c>
      <c r="G68">
        <v>0</v>
      </c>
    </row>
    <row r="69" spans="1:7">
      <c r="A69" t="s">
        <v>331</v>
      </c>
      <c r="B69" t="s">
        <v>332</v>
      </c>
      <c r="C69">
        <v>0</v>
      </c>
      <c r="D69">
        <v>0</v>
      </c>
      <c r="E69">
        <v>0</v>
      </c>
      <c r="G69">
        <v>0</v>
      </c>
    </row>
    <row r="70" spans="1:7">
      <c r="A70" t="s">
        <v>333</v>
      </c>
      <c r="B70" t="s">
        <v>334</v>
      </c>
      <c r="C70">
        <v>0</v>
      </c>
      <c r="D70">
        <v>0</v>
      </c>
      <c r="E70">
        <v>0</v>
      </c>
      <c r="G70">
        <v>0</v>
      </c>
    </row>
    <row r="71" spans="1:7">
      <c r="A71" t="s">
        <v>335</v>
      </c>
      <c r="B71" t="s">
        <v>336</v>
      </c>
      <c r="C71">
        <v>0</v>
      </c>
      <c r="D71">
        <v>284219</v>
      </c>
      <c r="E71">
        <v>21381</v>
      </c>
      <c r="G71">
        <v>0</v>
      </c>
    </row>
    <row r="72" spans="1:7">
      <c r="A72" t="s">
        <v>337</v>
      </c>
      <c r="B72" t="s">
        <v>338</v>
      </c>
      <c r="C72">
        <v>0</v>
      </c>
      <c r="D72">
        <v>0</v>
      </c>
      <c r="E72">
        <v>0</v>
      </c>
      <c r="G72">
        <v>0</v>
      </c>
    </row>
    <row r="73" spans="1:7">
      <c r="A73" t="s">
        <v>339</v>
      </c>
      <c r="B73" t="s">
        <v>340</v>
      </c>
      <c r="C73">
        <v>0</v>
      </c>
      <c r="D73">
        <v>0</v>
      </c>
      <c r="E73">
        <v>0</v>
      </c>
      <c r="G73">
        <v>0</v>
      </c>
    </row>
    <row r="74" spans="1:7">
      <c r="A74" t="s">
        <v>341</v>
      </c>
      <c r="B74" t="s">
        <v>342</v>
      </c>
      <c r="C74">
        <v>0</v>
      </c>
      <c r="D74">
        <v>0</v>
      </c>
      <c r="E74">
        <v>0</v>
      </c>
      <c r="G74">
        <v>0</v>
      </c>
    </row>
    <row r="75" spans="1:7">
      <c r="A75" t="s">
        <v>343</v>
      </c>
      <c r="B75" t="s">
        <v>344</v>
      </c>
      <c r="C75">
        <v>0</v>
      </c>
      <c r="D75">
        <v>0</v>
      </c>
      <c r="E75">
        <v>0</v>
      </c>
      <c r="G75">
        <v>0</v>
      </c>
    </row>
    <row r="76" spans="1:7">
      <c r="A76" t="s">
        <v>345</v>
      </c>
      <c r="B76" t="s">
        <v>346</v>
      </c>
      <c r="C76">
        <v>0</v>
      </c>
      <c r="D76">
        <v>5108401</v>
      </c>
      <c r="E76">
        <v>105596</v>
      </c>
      <c r="G76">
        <v>0</v>
      </c>
    </row>
    <row r="77" spans="1:7">
      <c r="A77" t="s">
        <v>347</v>
      </c>
      <c r="B77" t="s">
        <v>348</v>
      </c>
      <c r="C77">
        <v>0</v>
      </c>
      <c r="D77">
        <v>0</v>
      </c>
      <c r="E77">
        <v>0</v>
      </c>
      <c r="G77">
        <v>0</v>
      </c>
    </row>
    <row r="78" spans="1:7">
      <c r="A78" t="s">
        <v>349</v>
      </c>
      <c r="B78" t="s">
        <v>350</v>
      </c>
      <c r="C78">
        <v>0</v>
      </c>
      <c r="D78">
        <v>0</v>
      </c>
      <c r="E78">
        <v>0</v>
      </c>
      <c r="G78">
        <v>0</v>
      </c>
    </row>
    <row r="79" spans="1:7">
      <c r="A79" t="s">
        <v>351</v>
      </c>
      <c r="B79" t="s">
        <v>352</v>
      </c>
      <c r="C79">
        <v>0</v>
      </c>
      <c r="D79">
        <v>0</v>
      </c>
      <c r="E79">
        <v>0</v>
      </c>
      <c r="G79">
        <v>0</v>
      </c>
    </row>
    <row r="80" spans="1:7">
      <c r="A80" t="s">
        <v>353</v>
      </c>
      <c r="B80" t="s">
        <v>354</v>
      </c>
      <c r="C80">
        <v>0</v>
      </c>
      <c r="D80">
        <v>0</v>
      </c>
      <c r="E80">
        <v>0</v>
      </c>
      <c r="G80">
        <v>0</v>
      </c>
    </row>
    <row r="81" spans="1:7">
      <c r="A81" t="s">
        <v>355</v>
      </c>
      <c r="B81" t="s">
        <v>356</v>
      </c>
      <c r="C81">
        <v>0</v>
      </c>
      <c r="D81">
        <v>0</v>
      </c>
      <c r="E81">
        <v>0</v>
      </c>
      <c r="G81">
        <v>0</v>
      </c>
    </row>
    <row r="82" spans="1:7">
      <c r="A82" t="s">
        <v>357</v>
      </c>
      <c r="B82" t="s">
        <v>358</v>
      </c>
      <c r="C82">
        <v>0</v>
      </c>
      <c r="D82">
        <v>0</v>
      </c>
      <c r="E82">
        <v>0</v>
      </c>
      <c r="G82">
        <v>0</v>
      </c>
    </row>
    <row r="83" spans="1:7">
      <c r="A83" t="s">
        <v>359</v>
      </c>
      <c r="B83" t="s">
        <v>360</v>
      </c>
      <c r="C83">
        <v>0</v>
      </c>
      <c r="D83">
        <v>0</v>
      </c>
      <c r="E83">
        <v>0</v>
      </c>
      <c r="G83">
        <v>0</v>
      </c>
    </row>
    <row r="84" spans="1:7">
      <c r="A84" t="s">
        <v>361</v>
      </c>
      <c r="B84" t="s">
        <v>362</v>
      </c>
      <c r="C84">
        <v>0</v>
      </c>
      <c r="D84">
        <v>0</v>
      </c>
      <c r="E84">
        <v>0</v>
      </c>
      <c r="G84">
        <v>0</v>
      </c>
    </row>
    <row r="85" spans="1:7">
      <c r="A85" t="s">
        <v>363</v>
      </c>
      <c r="B85" t="s">
        <v>364</v>
      </c>
      <c r="C85">
        <v>0</v>
      </c>
      <c r="D85">
        <v>0</v>
      </c>
      <c r="E85">
        <v>0</v>
      </c>
      <c r="G85">
        <v>0</v>
      </c>
    </row>
    <row r="86" spans="1:7">
      <c r="A86" t="s">
        <v>365</v>
      </c>
      <c r="B86" t="s">
        <v>366</v>
      </c>
      <c r="C86">
        <v>0</v>
      </c>
      <c r="D86">
        <v>0</v>
      </c>
      <c r="E86">
        <v>0</v>
      </c>
      <c r="G86">
        <v>0</v>
      </c>
    </row>
    <row r="87" spans="1:7">
      <c r="A87" t="s">
        <v>367</v>
      </c>
      <c r="B87" t="s">
        <v>368</v>
      </c>
      <c r="C87">
        <v>0</v>
      </c>
      <c r="D87">
        <v>0</v>
      </c>
      <c r="E87">
        <v>0</v>
      </c>
      <c r="G87">
        <v>0</v>
      </c>
    </row>
    <row r="88" spans="1:7">
      <c r="A88" t="s">
        <v>369</v>
      </c>
      <c r="B88" t="s">
        <v>370</v>
      </c>
      <c r="C88">
        <v>0</v>
      </c>
      <c r="D88">
        <v>0</v>
      </c>
      <c r="E88">
        <v>0</v>
      </c>
      <c r="G88">
        <v>0</v>
      </c>
    </row>
    <row r="89" spans="1:7">
      <c r="A89" t="s">
        <v>371</v>
      </c>
      <c r="B89" t="s">
        <v>372</v>
      </c>
      <c r="C89">
        <v>0</v>
      </c>
      <c r="D89">
        <v>0</v>
      </c>
      <c r="E89">
        <v>0</v>
      </c>
      <c r="G89">
        <v>0</v>
      </c>
    </row>
    <row r="90" spans="1:7">
      <c r="A90" t="s">
        <v>373</v>
      </c>
      <c r="B90" t="s">
        <v>374</v>
      </c>
      <c r="C90">
        <v>0</v>
      </c>
      <c r="D90">
        <v>0</v>
      </c>
      <c r="E90">
        <v>47</v>
      </c>
      <c r="G90">
        <v>0</v>
      </c>
    </row>
    <row r="91" spans="1:7">
      <c r="A91" t="s">
        <v>375</v>
      </c>
      <c r="B91" t="s">
        <v>376</v>
      </c>
      <c r="C91">
        <v>0</v>
      </c>
      <c r="D91">
        <v>0</v>
      </c>
      <c r="E91">
        <v>0</v>
      </c>
      <c r="G91">
        <v>0</v>
      </c>
    </row>
    <row r="92" spans="1:7">
      <c r="A92" t="s">
        <v>377</v>
      </c>
      <c r="B92" t="s">
        <v>378</v>
      </c>
      <c r="C92">
        <v>0</v>
      </c>
      <c r="D92">
        <v>0</v>
      </c>
      <c r="E92">
        <v>0</v>
      </c>
      <c r="G92">
        <v>0</v>
      </c>
    </row>
    <row r="93" spans="1:7">
      <c r="A93" t="s">
        <v>379</v>
      </c>
      <c r="B93" t="s">
        <v>380</v>
      </c>
      <c r="C93">
        <v>0</v>
      </c>
      <c r="D93">
        <v>0</v>
      </c>
      <c r="E93">
        <v>0</v>
      </c>
      <c r="G93">
        <v>0</v>
      </c>
    </row>
    <row r="94" spans="1:7">
      <c r="A94" t="s">
        <v>381</v>
      </c>
      <c r="B94" t="s">
        <v>382</v>
      </c>
      <c r="C94">
        <v>0</v>
      </c>
      <c r="D94">
        <v>0</v>
      </c>
      <c r="E94">
        <v>0</v>
      </c>
      <c r="G94">
        <v>0</v>
      </c>
    </row>
    <row r="95" spans="1:7">
      <c r="A95" t="s">
        <v>383</v>
      </c>
      <c r="B95" t="s">
        <v>384</v>
      </c>
      <c r="C95">
        <v>0</v>
      </c>
      <c r="D95">
        <v>0</v>
      </c>
      <c r="E95">
        <v>0</v>
      </c>
      <c r="G9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abSelected="1" workbookViewId="0">
      <selection activeCell="U19" sqref="U19"/>
    </sheetView>
  </sheetViews>
  <sheetFormatPr defaultRowHeight="13.8"/>
  <sheetData>
    <row r="1" spans="1:1" ht="17.399999999999999">
      <c r="A1" s="8" t="s">
        <v>385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3.8"/>
  <cols>
    <col min="1" max="1" width="16.5" customWidth="1"/>
    <col min="2" max="2" width="120" customWidth="1"/>
  </cols>
  <sheetData>
    <row r="1" spans="1:2">
      <c r="A1" s="1" t="s">
        <v>386</v>
      </c>
      <c r="B1" s="1" t="s">
        <v>387</v>
      </c>
    </row>
    <row r="2" spans="1:2">
      <c r="A2" t="s">
        <v>388</v>
      </c>
      <c r="B2" t="s">
        <v>389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390</v>
      </c>
      <c r="B5" t="s">
        <v>391</v>
      </c>
    </row>
    <row r="6" spans="1:2">
      <c r="A6" t="s">
        <v>392</v>
      </c>
      <c r="B6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Monthly Trends</vt:lpstr>
      <vt:lpstr>Annual Summary</vt:lpstr>
      <vt:lpstr>Field Report</vt:lpstr>
      <vt:lpstr>Operator Report</vt:lpstr>
      <vt:lpstr>Lease Report</vt:lpstr>
      <vt:lpstr>All Fields</vt:lpstr>
      <vt:lpstr>Charts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Luongo, Joseph</cp:lastModifiedBy>
  <dcterms:modified xsi:type="dcterms:W3CDTF">2026-06-04T16:29:46Z</dcterms:modified>
</cp:coreProperties>
</file>